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8010" windowHeight="7800" tabRatio="477"/>
  </bookViews>
  <sheets>
    <sheet name="(Large) EXTERNAL COMPONENTS" sheetId="4" r:id="rId1"/>
    <sheet name="(MINI) EXTERNAL COMPONENTS" sheetId="6"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4" l="1"/>
  <c r="G40" i="4" s="1"/>
</calcChain>
</file>

<file path=xl/sharedStrings.xml><?xml version="1.0" encoding="utf-8"?>
<sst xmlns="http://schemas.openxmlformats.org/spreadsheetml/2006/main" count="145" uniqueCount="127">
  <si>
    <t>Component</t>
  </si>
  <si>
    <t>QTY</t>
  </si>
  <si>
    <t>Description</t>
  </si>
  <si>
    <t>This is the physical device installed on the water pipe</t>
  </si>
  <si>
    <t>DigiKey [https://www.digikey.com/en/products/detail/adafruit-industries-llc/997/6827136?s=N4IgTCBcDaIIwHowB0QAIAKAbAhgZwBcBLAYzQHUcCBTAJzQGUB7LagOyaIBM0A1HLADdqIALoBfIA]</t>
  </si>
  <si>
    <t>Solenoid Valve, V1</t>
  </si>
  <si>
    <t>Manufacturer Part Number</t>
  </si>
  <si>
    <t>Find at      (Supplier + URL)</t>
  </si>
  <si>
    <t>Manufacturer</t>
  </si>
  <si>
    <t>Package / Footprint</t>
  </si>
  <si>
    <t>Adafruit Industries LLC</t>
  </si>
  <si>
    <t>Suppiler Part Number</t>
  </si>
  <si>
    <t>1528-2003-ND</t>
  </si>
  <si>
    <t>Price (USD)</t>
  </si>
  <si>
    <t>Turbidity sensor, S1</t>
  </si>
  <si>
    <t>DFRobot</t>
  </si>
  <si>
    <t>SEN0189</t>
  </si>
  <si>
    <t>GRAVITY: ANALOG TURBIDITY SENSOR</t>
  </si>
  <si>
    <t>DigiKey [https://www.digikey.com/en/products/detail/dfrobot/SEN0189/6588606?s=N4IgTCBcDaIMoFEByAGAjADgJwgLoF8g]</t>
  </si>
  <si>
    <t>1738-1185-ND</t>
  </si>
  <si>
    <t>hanxia</t>
  </si>
  <si>
    <t>12 V DC Diaphragm pump, P1</t>
  </si>
  <si>
    <t>This pump draws water from the source and pushes it through the Sediment/Carbon filters.</t>
  </si>
  <si>
    <t>SFDP1-011-070-21</t>
  </si>
  <si>
    <t>Seaflo</t>
  </si>
  <si>
    <t>Amazon [https://www.amazon.com/SEAFLO-Diaphragm-Water-Pressure-Pump/dp/B0DVTJ1FKP]</t>
  </si>
  <si>
    <t>Pressure sensor, S2</t>
  </si>
  <si>
    <t>SEN0257</t>
  </si>
  <si>
    <t>1738-1377-ND</t>
  </si>
  <si>
    <t>Pressure Sensor 232.06PSI (1600kPa) Gauge 0.5 V ~ 4.5 V Cylinder, Metal</t>
  </si>
  <si>
    <t>DigiKey [https://www.digikey.com/en/products/detail/dfrobot/SEN0257/8341836?s=N4IgTCBcDaIOYCcCGA3AlgFwJ4AIDuSGApgjgA4JEDOVArpTlUQHZUD2CIAugL5A]</t>
  </si>
  <si>
    <t>Water Flow sensor, S3</t>
  </si>
  <si>
    <t>Liquid Flow Sensor 1 ~ 30 LPM 0.787" (20mm) Plastic</t>
  </si>
  <si>
    <t>SEN0217</t>
  </si>
  <si>
    <t>DigiKey [https://www.digikey.com/en/products/detail/dfrobot/SEN0217/6579446?s=N4IgTCBcDaIM4FMB2AGMBGA7CAugXyA]</t>
  </si>
  <si>
    <t>SEN0217-ND</t>
  </si>
  <si>
    <t>Color sensor, S4</t>
  </si>
  <si>
    <t>TCS34725 Color Sensor Gravity Platform Evaluation Expansion Board</t>
  </si>
  <si>
    <t>SEN0212</t>
  </si>
  <si>
    <t>DigiKey [https://www.digikey.com/en/products/detail/dfrobot/SEN0212/7087188?s=N4IgTCBcDaIMoFEByAGMBGCBdAvkA]</t>
  </si>
  <si>
    <t>1738-1291-ND</t>
  </si>
  <si>
    <t>12 Watt Stainless Steel UV Sterilizer with 12V ballast [DC not AC]</t>
  </si>
  <si>
    <t>https://purewater4life.co.za/12-watt-stainless-steel-uv-sterilizer-with-12v-ballast/</t>
  </si>
  <si>
    <t>* SSE-012 EB-G16-12V UV Sterilizer</t>
  </si>
  <si>
    <t>*UV Lamp</t>
  </si>
  <si>
    <t>Water Level sensor, S5</t>
  </si>
  <si>
    <t>WEATHER-PROOF ULTRASONIC SENSOR</t>
  </si>
  <si>
    <t>SEN0208</t>
  </si>
  <si>
    <t>DigiKey [https://www.digikey.com/en/products/detail/dfrobot/SEN0208/6588472]</t>
  </si>
  <si>
    <t>1738-1050-ND</t>
  </si>
  <si>
    <t>TDS sensor, S6</t>
  </si>
  <si>
    <t>GRAVITY ANALOG TDS SENSOR/METER</t>
  </si>
  <si>
    <t>SEN0244</t>
  </si>
  <si>
    <t>DigiKey [https://www.digikey.com/en/products/detail/dfrobot/SEN0244/8019062?s=N4IgTCBcDaIMoFEByAGMAWdIC6BfIA]</t>
  </si>
  <si>
    <t>1738-1368-ND</t>
  </si>
  <si>
    <t>PH sensor, S7</t>
  </si>
  <si>
    <t>GRAVITY: ANALOG PH SENSOR/METER</t>
  </si>
  <si>
    <t>SEN0161-V2</t>
  </si>
  <si>
    <t>DigiKey [https://www.digikey.com/en/products/detail/dfrobot/SEN0161-V2/9608223?s=N4IgTCBcDaIMoFEByAGAjANjQWgGoQF0BfIA]</t>
  </si>
  <si>
    <t>SEN0161-V2-ND</t>
  </si>
  <si>
    <t>Voltage sensor, S8</t>
  </si>
  <si>
    <t>This breakout board will solve all your power-monitoring problems. Instead of struggling with two multimeters, you can just use the handy INA219 chip on this breakout to both measure both the high side voltage and DC current draw over I2C with ±1% precisio</t>
  </si>
  <si>
    <t>Adafruit</t>
  </si>
  <si>
    <t>1NA219</t>
  </si>
  <si>
    <t>Adafruit [https://www.adafruit.com/product/904#technical-details]</t>
  </si>
  <si>
    <t>charge controller</t>
  </si>
  <si>
    <t>battery</t>
  </si>
  <si>
    <t>connecting wires</t>
  </si>
  <si>
    <t>Recommdended to use 16 AWG (1.31 mm²). Can draw 10 - 13 amps</t>
  </si>
  <si>
    <t>Rocker Switch SPST 16A(AC) 250V Through Hole</t>
  </si>
  <si>
    <t>Legion</t>
  </si>
  <si>
    <t>SS11-BBIWG-R20-R</t>
  </si>
  <si>
    <t>LCSC [https://www.lcsc.com/product-detail/C309069.html]</t>
  </si>
  <si>
    <t>C309069</t>
  </si>
  <si>
    <t>SPST-NO Through Hole 250V Pushbutton Switches RoHS</t>
  </si>
  <si>
    <t>HX PBS-33BXH+2.0 KJ-2PX100mm DT</t>
  </si>
  <si>
    <t>LCSC [https://www.lcsc.com/product-detail/C5274681.html?s_z=n_Pushbutton%2520Switch%252012mm]</t>
  </si>
  <si>
    <t>C5274681</t>
  </si>
  <si>
    <t>The Pentek WP Series string-wound cartridge is a durable, general-purpose sediment filter designed for municipal, well, and industrial water applications, using a precisely wound construction to provide higher surface area, improved filtration efficiency, and greater dirt-holding capacity while reducing sand, silt, scale, and rust; it has a 25-micron rating, measures 4.5" × 10", and fits standard 10" Big Blue housings.</t>
  </si>
  <si>
    <t>355216-43 or WP5BB97P</t>
  </si>
  <si>
    <t>Fresh water systems [https://www.freshwatersystems.com/collections/sediment-particulate-filters/products/pentek-wp25b97p-10-bb-string-wound-polypropylene-filter-25-micron]</t>
  </si>
  <si>
    <t>The Neo-Pure WPP-25098-10 is a cost-effective, surfactant-free polypropylene string-wound filter that meets USP Class VI and FDA CFR Title 21 requirements, offering high dirt-holding capacity and effective reduction of sand, silt, rust, dirt, and scale, while delivering reliable filtration for applications such as SDI, reverse osmosis, and CDI.</t>
  </si>
  <si>
    <t>Neo-Pure</t>
  </si>
  <si>
    <t>WPP-25098-10 or SW-25-1010</t>
  </si>
  <si>
    <t>Fresh water systems [https://www.freshwatersystems.com/collections/sediment-particulate-filters/products/neo-pure-wpp-25098-10-10-surfactant-free-string-wound-filter-10-micron]</t>
  </si>
  <si>
    <t>KX MATRIKX CTO® filters are optimized for applications where they perform the role of both a sediment and activated carbon filter for chlorine taste and odor reduction. These filters are known industry-wide for superior performance. 5 Micron Nominal Filtration Rating (10 Micron Absolute Filtration Rating).</t>
  </si>
  <si>
    <t>32-250-10-MATRIKX</t>
  </si>
  <si>
    <t>KX Technologies</t>
  </si>
  <si>
    <t>WaterAnywhere [https://wateranywhere.com/products/10-standard-kx-matrikx-cto-carbon-block-filter-5-micron?variant=40436237172839]</t>
  </si>
  <si>
    <t>The Pentair DGD Series cartridge is a dual-gradient, 100% polypropylene sediment filter designed for Big Blue housings, offering high chemical resistance, protection against bacterial attack, and up to three times the dirt-holding capacity of standard sediment filters; with a 25-micron outer layer and 1-micron inner layer, it provides efficient pre- and post-filtration in a single cartridge for residential, municipal, and commercial applications, measures 10" × 4.5", and is NSF 42 and FDA CFR-21 certified.</t>
  </si>
  <si>
    <t>155359-43</t>
  </si>
  <si>
    <t>Fresh Water Systems [https://www.freshwatersystems.com/products/pentair-10-bb-graded-density-polypropylene-sediment-filter-25-1-mic]</t>
  </si>
  <si>
    <t>The Pentek 10" Slim Line water filter housing features a reinforced polypropylene black cap and blue sump, providing high chemical compatibility, leak-proof sealing with a Buna-N O-ring, and reliable performance for low-flow applications such as sink filtration, pre- and post-reverse osmosis systems, and humidifying systems.</t>
  </si>
  <si>
    <t>Pentair Water</t>
  </si>
  <si>
    <t>Fresh water systems [https://www.freshwatersystems.com/products/pentek-10-slim-line-water-filter-housing-black-blue-w-pr]</t>
  </si>
  <si>
    <t>25 micron sediment filter*</t>
  </si>
  <si>
    <t>10 micron sediment filter*</t>
  </si>
  <si>
    <t>5 micron carbon CTO filter*</t>
  </si>
  <si>
    <t>1 micron post filter*</t>
  </si>
  <si>
    <t>Filter housings*</t>
  </si>
  <si>
    <t>Water pipes*</t>
  </si>
  <si>
    <t>Solar panel</t>
  </si>
  <si>
    <t>switch (Power ON)</t>
  </si>
  <si>
    <t>button (RESET)</t>
  </si>
  <si>
    <t>supply 12V</t>
  </si>
  <si>
    <t>TOTAL</t>
  </si>
  <si>
    <t>Hollow UF membrane</t>
  </si>
  <si>
    <t>A lightweight, palm-sized Sawyer Mini water filtration kit that includes a reusable pouch, syringe, and straw, offering high-performance 0.1-micron filtration to remove bacteria, protozoa, and microplastics, with versatile compatibility for outdoor use, travel, and emergency preparedness.</t>
  </si>
  <si>
    <t>Sawyer</t>
  </si>
  <si>
    <t>sawyer.com [https://www.sawyer.com/product/mini-water-filtration-system-blue#product-details]</t>
  </si>
  <si>
    <t>Carbon filter</t>
  </si>
  <si>
    <t>A Ronaqua T33 inline coconut-shell activated carbon filter designed for reverse osmosis systems and similar applications, used as a pre/post polishing stage to improve water taste and odor, NSF-certified, easy to install, and typically replaced every two years.</t>
  </si>
  <si>
    <t>Ronaqua</t>
  </si>
  <si>
    <t>‎FBA_RA-T33</t>
  </si>
  <si>
    <t>amazon.com [https://www.amazon.com/Inline-Coconut-Activated-Membrane-Reduction/dp/B0719SHH9X?th=1]</t>
  </si>
  <si>
    <t>Turbidity sensor</t>
  </si>
  <si>
    <t>Micro Pressure sensor</t>
  </si>
  <si>
    <t>Search: "Pressure Transducer Sensor 5V 80psi".</t>
  </si>
  <si>
    <t>Flow sensor</t>
  </si>
  <si>
    <t>buy the small one</t>
  </si>
  <si>
    <t>YF-S401</t>
  </si>
  <si>
    <t>Micro Diaphragm pump</t>
  </si>
  <si>
    <t>Mechanical check valve</t>
  </si>
  <si>
    <t>LEDs</t>
  </si>
  <si>
    <t>OLED Display</t>
  </si>
  <si>
    <t>Graphic LCD Display Module White OLED - Passive Matrix I2C, SPI 0.96" (24.38mm) 128 x 64 [ensure to use I2C]</t>
  </si>
  <si>
    <t>DigiKey [https://www.digikey.com/en/maker/projects/arduino-oled-display-interfacing/0a150e86a90a4743b361376ba0d39722]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</si>
</sst>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Times New Roman"/>
      <family val="1"/>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Fill="1" applyAlignment="1">
      <alignment vertical="top" wrapText="1"/>
    </xf>
    <xf numFmtId="0" fontId="0" fillId="0" borderId="0" xfId="0" applyFill="1"/>
    <xf numFmtId="0" fontId="1" fillId="0" borderId="0" xfId="0" applyFont="1" applyFill="1"/>
    <xf numFmtId="0" fontId="2" fillId="0" borderId="0" xfId="1" applyFill="1"/>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urewater4life.co.za/12-watt-stainless-steel-uv-sterilizer-with-12v-balla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40"/>
  <sheetViews>
    <sheetView tabSelected="1" zoomScale="70" zoomScaleNormal="70" workbookViewId="0">
      <pane ySplit="1" topLeftCell="A3" activePane="bottomLeft" state="frozen"/>
      <selection pane="bottomLeft" activeCell="G22" sqref="G22"/>
    </sheetView>
  </sheetViews>
  <sheetFormatPr defaultRowHeight="15.5" x14ac:dyDescent="0.35"/>
  <cols>
    <col min="1" max="1" width="29.36328125" style="3" customWidth="1"/>
    <col min="2" max="2" width="5.6328125" style="3" customWidth="1"/>
    <col min="3" max="3" width="27" style="3" customWidth="1"/>
    <col min="4" max="4" width="19.26953125" style="3" customWidth="1"/>
    <col min="5" max="5" width="13.6328125" style="3" customWidth="1"/>
    <col min="6" max="6" width="10.1796875" style="3" customWidth="1"/>
    <col min="7" max="7" width="8.7265625" style="3"/>
    <col min="8" max="8" width="16.6328125" style="3" customWidth="1"/>
    <col min="9" max="9" width="14.453125" style="3" customWidth="1"/>
    <col min="10" max="16384" width="8.7265625" style="3"/>
  </cols>
  <sheetData>
    <row r="1" spans="1:9" s="1" customFormat="1" ht="31" x14ac:dyDescent="0.35">
      <c r="A1" s="1" t="s">
        <v>0</v>
      </c>
      <c r="B1" s="1" t="s">
        <v>1</v>
      </c>
      <c r="C1" s="1" t="s">
        <v>2</v>
      </c>
      <c r="D1" s="1" t="s">
        <v>8</v>
      </c>
      <c r="E1" s="1" t="s">
        <v>6</v>
      </c>
      <c r="F1" s="1" t="s">
        <v>9</v>
      </c>
      <c r="G1" s="1" t="s">
        <v>13</v>
      </c>
      <c r="H1" s="1" t="s">
        <v>7</v>
      </c>
      <c r="I1" s="1" t="s">
        <v>11</v>
      </c>
    </row>
    <row r="2" spans="1:9" s="1" customFormat="1" x14ac:dyDescent="0.35"/>
    <row r="3" spans="1:9" s="1" customFormat="1" ht="14.5" customHeight="1" x14ac:dyDescent="0.35">
      <c r="A3" s="1" t="s">
        <v>95</v>
      </c>
      <c r="B3" s="1">
        <v>1</v>
      </c>
      <c r="C3" s="2" t="s">
        <v>78</v>
      </c>
      <c r="D3" s="1" t="s">
        <v>93</v>
      </c>
      <c r="E3" s="1" t="s">
        <v>79</v>
      </c>
      <c r="G3" s="1">
        <v>27.91</v>
      </c>
      <c r="H3" s="1" t="s">
        <v>80</v>
      </c>
    </row>
    <row r="4" spans="1:9" s="1" customFormat="1" ht="14.5" customHeight="1" x14ac:dyDescent="0.35">
      <c r="A4" s="1" t="s">
        <v>96</v>
      </c>
      <c r="B4" s="1">
        <v>1</v>
      </c>
      <c r="C4" s="2" t="s">
        <v>81</v>
      </c>
      <c r="D4" s="1" t="s">
        <v>82</v>
      </c>
      <c r="E4" s="1" t="s">
        <v>83</v>
      </c>
      <c r="G4" s="1">
        <v>3.72</v>
      </c>
      <c r="H4" s="1" t="s">
        <v>84</v>
      </c>
    </row>
    <row r="5" spans="1:9" s="1" customFormat="1" ht="14.5" customHeight="1" x14ac:dyDescent="0.35">
      <c r="A5" s="1" t="s">
        <v>97</v>
      </c>
      <c r="B5" s="1">
        <v>1</v>
      </c>
      <c r="C5" s="2" t="s">
        <v>85</v>
      </c>
      <c r="D5" s="1" t="s">
        <v>87</v>
      </c>
      <c r="E5" s="1" t="s">
        <v>86</v>
      </c>
      <c r="G5" s="1">
        <v>8.39</v>
      </c>
      <c r="H5" s="1" t="s">
        <v>88</v>
      </c>
    </row>
    <row r="6" spans="1:9" s="1" customFormat="1" ht="14.5" customHeight="1" x14ac:dyDescent="0.35">
      <c r="A6" s="1" t="s">
        <v>98</v>
      </c>
      <c r="B6" s="1">
        <v>1</v>
      </c>
      <c r="C6" s="2" t="s">
        <v>89</v>
      </c>
      <c r="D6" s="1" t="s">
        <v>93</v>
      </c>
      <c r="E6" s="1" t="s">
        <v>90</v>
      </c>
      <c r="G6" s="1">
        <v>20.28</v>
      </c>
      <c r="H6" s="1" t="s">
        <v>91</v>
      </c>
    </row>
    <row r="7" spans="1:9" s="1" customFormat="1" ht="14.5" customHeight="1" x14ac:dyDescent="0.35">
      <c r="C7" s="2"/>
    </row>
    <row r="8" spans="1:9" s="1" customFormat="1" ht="14.5" customHeight="1" x14ac:dyDescent="0.35">
      <c r="A8" s="1" t="s">
        <v>99</v>
      </c>
      <c r="B8" s="1">
        <v>4</v>
      </c>
      <c r="C8" s="2" t="s">
        <v>92</v>
      </c>
      <c r="D8" s="1" t="s">
        <v>93</v>
      </c>
      <c r="E8" s="1">
        <v>158005</v>
      </c>
      <c r="G8" s="1">
        <f xml:space="preserve"> 19.01 * 4</f>
        <v>76.040000000000006</v>
      </c>
      <c r="H8" s="1" t="s">
        <v>94</v>
      </c>
    </row>
    <row r="9" spans="1:9" s="1" customFormat="1" ht="14.5" customHeight="1" x14ac:dyDescent="0.35">
      <c r="C9" s="2"/>
    </row>
    <row r="10" spans="1:9" s="1" customFormat="1" ht="14.5" customHeight="1" x14ac:dyDescent="0.35">
      <c r="A10" s="1" t="s">
        <v>100</v>
      </c>
      <c r="C10" s="2"/>
    </row>
    <row r="11" spans="1:9" s="1" customFormat="1" ht="14.5" customHeight="1" x14ac:dyDescent="0.35">
      <c r="C11" s="2"/>
    </row>
    <row r="12" spans="1:9" s="1" customFormat="1" ht="14.5" customHeight="1" x14ac:dyDescent="0.35">
      <c r="A12" s="1" t="s">
        <v>101</v>
      </c>
      <c r="C12" s="2"/>
    </row>
    <row r="13" spans="1:9" s="1" customFormat="1" ht="14.5" customHeight="1" x14ac:dyDescent="0.35">
      <c r="A13" s="1" t="s">
        <v>66</v>
      </c>
      <c r="C13" s="2" t="s">
        <v>104</v>
      </c>
    </row>
    <row r="14" spans="1:9" s="1" customFormat="1" x14ac:dyDescent="0.35">
      <c r="A14" s="1" t="s">
        <v>65</v>
      </c>
    </row>
    <row r="15" spans="1:9" s="1" customFormat="1" x14ac:dyDescent="0.35"/>
    <row r="16" spans="1:9" s="1" customFormat="1" ht="14.5" customHeight="1" x14ac:dyDescent="0.35">
      <c r="A16" s="1" t="s">
        <v>67</v>
      </c>
      <c r="C16" s="1" t="s">
        <v>68</v>
      </c>
    </row>
    <row r="17" spans="1:9" s="1" customFormat="1" ht="14.5" customHeight="1" x14ac:dyDescent="0.35"/>
    <row r="18" spans="1:9" s="1" customFormat="1" x14ac:dyDescent="0.35">
      <c r="A18" s="1" t="s">
        <v>102</v>
      </c>
      <c r="B18" s="1">
        <v>1</v>
      </c>
      <c r="C18" s="2" t="s">
        <v>69</v>
      </c>
      <c r="D18" s="2" t="s">
        <v>70</v>
      </c>
      <c r="E18" s="2" t="s">
        <v>71</v>
      </c>
      <c r="G18" s="2">
        <v>0.2</v>
      </c>
      <c r="H18" s="2" t="s">
        <v>72</v>
      </c>
      <c r="I18" s="2" t="s">
        <v>73</v>
      </c>
    </row>
    <row r="19" spans="1:9" s="1" customFormat="1" x14ac:dyDescent="0.35">
      <c r="A19" s="1" t="s">
        <v>103</v>
      </c>
      <c r="B19" s="1">
        <v>1</v>
      </c>
      <c r="C19" s="2" t="s">
        <v>74</v>
      </c>
      <c r="D19" s="2" t="s">
        <v>20</v>
      </c>
      <c r="E19" s="2" t="s">
        <v>75</v>
      </c>
      <c r="G19" s="2">
        <v>0.69</v>
      </c>
      <c r="H19" s="2" t="s">
        <v>76</v>
      </c>
      <c r="I19" s="2" t="s">
        <v>77</v>
      </c>
    </row>
    <row r="20" spans="1:9" s="1" customFormat="1" x14ac:dyDescent="0.35">
      <c r="A20" s="1" t="s">
        <v>123</v>
      </c>
      <c r="B20" s="1">
        <v>2</v>
      </c>
      <c r="C20" s="2"/>
      <c r="D20" s="2"/>
      <c r="E20" s="2"/>
    </row>
    <row r="21" spans="1:9" s="1" customFormat="1" x14ac:dyDescent="0.35">
      <c r="A21" s="1" t="s">
        <v>124</v>
      </c>
      <c r="B21" s="1">
        <v>1</v>
      </c>
      <c r="C21" s="2" t="s">
        <v>125</v>
      </c>
      <c r="D21" s="2" t="s">
        <v>10</v>
      </c>
      <c r="E21" s="2">
        <v>326</v>
      </c>
      <c r="G21" s="2">
        <v>17.5</v>
      </c>
      <c r="H21" s="2" t="s">
        <v>126</v>
      </c>
      <c r="I21" s="5"/>
    </row>
    <row r="22" spans="1:9" s="1" customFormat="1" x14ac:dyDescent="0.35">
      <c r="C22" s="2"/>
      <c r="D22" s="2"/>
      <c r="E22" s="2"/>
      <c r="G22" s="2"/>
      <c r="H22" s="2"/>
      <c r="I22" s="2"/>
    </row>
    <row r="23" spans="1:9" x14ac:dyDescent="0.35">
      <c r="A23" s="3" t="s">
        <v>5</v>
      </c>
      <c r="B23" s="3">
        <v>1</v>
      </c>
      <c r="C23" s="3" t="s">
        <v>3</v>
      </c>
      <c r="D23" s="3" t="s">
        <v>10</v>
      </c>
      <c r="G23" s="3">
        <v>6.95</v>
      </c>
      <c r="H23" s="3" t="s">
        <v>4</v>
      </c>
      <c r="I23" s="3" t="s">
        <v>12</v>
      </c>
    </row>
    <row r="25" spans="1:9" x14ac:dyDescent="0.35">
      <c r="A25" s="3" t="s">
        <v>21</v>
      </c>
      <c r="B25" s="3">
        <v>1</v>
      </c>
      <c r="C25" s="3" t="s">
        <v>22</v>
      </c>
      <c r="D25" s="3" t="s">
        <v>24</v>
      </c>
      <c r="E25" s="3" t="s">
        <v>23</v>
      </c>
      <c r="G25" s="3">
        <v>34</v>
      </c>
      <c r="H25" s="3" t="s">
        <v>25</v>
      </c>
      <c r="I25" s="3">
        <v>810039497982</v>
      </c>
    </row>
    <row r="27" spans="1:9" x14ac:dyDescent="0.35">
      <c r="A27" s="3" t="s">
        <v>14</v>
      </c>
      <c r="B27" s="3">
        <v>1</v>
      </c>
      <c r="C27" s="3" t="s">
        <v>17</v>
      </c>
      <c r="D27" s="3" t="s">
        <v>15</v>
      </c>
      <c r="E27" s="3" t="s">
        <v>16</v>
      </c>
      <c r="G27" s="3">
        <v>9.9</v>
      </c>
      <c r="H27" s="3" t="s">
        <v>18</v>
      </c>
      <c r="I27" s="3" t="s">
        <v>19</v>
      </c>
    </row>
    <row r="28" spans="1:9" x14ac:dyDescent="0.35">
      <c r="A28" s="3" t="s">
        <v>26</v>
      </c>
      <c r="B28" s="3">
        <v>1</v>
      </c>
      <c r="C28" s="3" t="s">
        <v>29</v>
      </c>
      <c r="D28" s="3" t="s">
        <v>15</v>
      </c>
      <c r="E28" s="3" t="s">
        <v>27</v>
      </c>
      <c r="G28" s="3">
        <v>17.5</v>
      </c>
      <c r="H28" s="3" t="s">
        <v>30</v>
      </c>
      <c r="I28" s="3" t="s">
        <v>28</v>
      </c>
    </row>
    <row r="29" spans="1:9" x14ac:dyDescent="0.35">
      <c r="A29" s="3" t="s">
        <v>31</v>
      </c>
      <c r="B29" s="3">
        <v>1</v>
      </c>
      <c r="C29" s="3" t="s">
        <v>32</v>
      </c>
      <c r="D29" s="3" t="s">
        <v>15</v>
      </c>
      <c r="E29" s="3" t="s">
        <v>33</v>
      </c>
      <c r="G29" s="3">
        <v>8.99</v>
      </c>
      <c r="H29" s="3" t="s">
        <v>34</v>
      </c>
      <c r="I29" s="3" t="s">
        <v>35</v>
      </c>
    </row>
    <row r="30" spans="1:9" x14ac:dyDescent="0.35">
      <c r="A30" s="3" t="s">
        <v>36</v>
      </c>
      <c r="B30" s="3">
        <v>1</v>
      </c>
      <c r="C30" s="3" t="s">
        <v>37</v>
      </c>
      <c r="D30" s="3" t="s">
        <v>15</v>
      </c>
      <c r="E30" s="3" t="s">
        <v>38</v>
      </c>
      <c r="G30" s="3">
        <v>7.9</v>
      </c>
      <c r="H30" s="3" t="s">
        <v>39</v>
      </c>
      <c r="I30" s="3" t="s">
        <v>40</v>
      </c>
    </row>
    <row r="31" spans="1:9" x14ac:dyDescent="0.35">
      <c r="A31" s="3" t="s">
        <v>45</v>
      </c>
      <c r="B31" s="3">
        <v>1</v>
      </c>
      <c r="C31" s="3" t="s">
        <v>46</v>
      </c>
      <c r="D31" s="3" t="s">
        <v>15</v>
      </c>
      <c r="E31" s="3" t="s">
        <v>47</v>
      </c>
      <c r="G31" s="3">
        <v>16</v>
      </c>
      <c r="H31" s="3" t="s">
        <v>48</v>
      </c>
      <c r="I31" s="3" t="s">
        <v>49</v>
      </c>
    </row>
    <row r="32" spans="1:9" x14ac:dyDescent="0.35">
      <c r="A32" s="3" t="s">
        <v>50</v>
      </c>
      <c r="B32" s="3">
        <v>1</v>
      </c>
      <c r="C32" s="3" t="s">
        <v>51</v>
      </c>
      <c r="D32" s="3" t="s">
        <v>15</v>
      </c>
      <c r="E32" s="3" t="s">
        <v>52</v>
      </c>
      <c r="G32" s="3">
        <v>11.8</v>
      </c>
      <c r="H32" s="3" t="s">
        <v>53</v>
      </c>
      <c r="I32" s="3" t="s">
        <v>54</v>
      </c>
    </row>
    <row r="33" spans="1:9" x14ac:dyDescent="0.35">
      <c r="A33" s="3" t="s">
        <v>55</v>
      </c>
      <c r="B33" s="3">
        <v>1</v>
      </c>
      <c r="C33" s="3" t="s">
        <v>56</v>
      </c>
      <c r="D33" s="3" t="s">
        <v>15</v>
      </c>
      <c r="E33" s="3" t="s">
        <v>57</v>
      </c>
      <c r="G33" s="3">
        <v>39.5</v>
      </c>
      <c r="H33" s="3" t="s">
        <v>58</v>
      </c>
      <c r="I33" s="3" t="s">
        <v>59</v>
      </c>
    </row>
    <row r="34" spans="1:9" x14ac:dyDescent="0.35">
      <c r="A34" s="3" t="s">
        <v>60</v>
      </c>
      <c r="B34" s="3">
        <v>1</v>
      </c>
      <c r="C34" s="3" t="s">
        <v>61</v>
      </c>
      <c r="D34" s="3" t="s">
        <v>62</v>
      </c>
      <c r="E34" s="3" t="s">
        <v>63</v>
      </c>
      <c r="G34" s="3">
        <v>9.9499999999999993</v>
      </c>
      <c r="H34" s="3" t="s">
        <v>64</v>
      </c>
    </row>
    <row r="36" spans="1:9" x14ac:dyDescent="0.35">
      <c r="A36" s="3" t="s">
        <v>44</v>
      </c>
      <c r="B36" s="3">
        <v>1</v>
      </c>
      <c r="C36" s="3" t="s">
        <v>41</v>
      </c>
      <c r="E36" s="3" t="s">
        <v>43</v>
      </c>
      <c r="G36" s="3">
        <v>70</v>
      </c>
      <c r="H36" s="4" t="s">
        <v>42</v>
      </c>
    </row>
    <row r="37" spans="1:9" x14ac:dyDescent="0.35">
      <c r="H37" s="4"/>
    </row>
    <row r="38" spans="1:9" x14ac:dyDescent="0.35">
      <c r="H38" s="4"/>
    </row>
    <row r="39" spans="1:9" x14ac:dyDescent="0.35">
      <c r="H39" s="4"/>
    </row>
    <row r="40" spans="1:9" x14ac:dyDescent="0.35">
      <c r="A40" s="3" t="s">
        <v>105</v>
      </c>
      <c r="G40" s="3">
        <f xml:space="preserve"> SUM(G2:G37)</f>
        <v>387.21999999999997</v>
      </c>
    </row>
  </sheetData>
  <hyperlinks>
    <hyperlink ref="H36" r:id="rId1"/>
  </hyperlinks>
  <pageMargins left="0.7" right="0.7" top="0.75" bottom="0.75" header="0.3" footer="0.3"/>
  <pageSetup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zoomScale="70" zoomScaleNormal="70" workbookViewId="0">
      <pane ySplit="1" topLeftCell="A2" activePane="bottomLeft" state="frozen"/>
      <selection pane="bottomLeft" activeCell="H18" sqref="H18"/>
    </sheetView>
  </sheetViews>
  <sheetFormatPr defaultRowHeight="14.5" x14ac:dyDescent="0.35"/>
  <cols>
    <col min="1" max="1" width="25.90625" customWidth="1"/>
    <col min="3" max="3" width="18" customWidth="1"/>
    <col min="4" max="4" width="12.90625" customWidth="1"/>
    <col min="5" max="5" width="13.81640625" customWidth="1"/>
    <col min="6" max="6" width="10.1796875" customWidth="1"/>
    <col min="8" max="8" width="17" customWidth="1"/>
    <col min="9" max="9" width="13.6328125" customWidth="1"/>
  </cols>
  <sheetData>
    <row r="1" spans="1:9" s="1" customFormat="1" ht="38.5" customHeight="1" x14ac:dyDescent="0.35">
      <c r="A1" s="1" t="s">
        <v>0</v>
      </c>
      <c r="B1" s="1" t="s">
        <v>1</v>
      </c>
      <c r="C1" s="1" t="s">
        <v>2</v>
      </c>
      <c r="D1" s="1" t="s">
        <v>8</v>
      </c>
      <c r="E1" s="1" t="s">
        <v>6</v>
      </c>
      <c r="F1" s="1" t="s">
        <v>9</v>
      </c>
      <c r="G1" s="1" t="s">
        <v>13</v>
      </c>
      <c r="H1" s="1" t="s">
        <v>7</v>
      </c>
      <c r="I1" s="1" t="s">
        <v>11</v>
      </c>
    </row>
    <row r="3" spans="1:9" x14ac:dyDescent="0.35">
      <c r="A3" t="s">
        <v>106</v>
      </c>
      <c r="B3">
        <v>1</v>
      </c>
      <c r="C3" t="s">
        <v>107</v>
      </c>
      <c r="D3" t="s">
        <v>108</v>
      </c>
      <c r="G3">
        <v>28.99</v>
      </c>
      <c r="H3" t="s">
        <v>109</v>
      </c>
    </row>
    <row r="4" spans="1:9" x14ac:dyDescent="0.35">
      <c r="A4" t="s">
        <v>110</v>
      </c>
      <c r="B4">
        <v>1</v>
      </c>
      <c r="C4" t="s">
        <v>111</v>
      </c>
      <c r="D4" t="s">
        <v>112</v>
      </c>
      <c r="E4" t="s">
        <v>113</v>
      </c>
      <c r="G4">
        <v>12.49</v>
      </c>
      <c r="H4" t="s">
        <v>114</v>
      </c>
    </row>
    <row r="7" spans="1:9" x14ac:dyDescent="0.35">
      <c r="A7" t="s">
        <v>115</v>
      </c>
    </row>
    <row r="8" spans="1:9" x14ac:dyDescent="0.35">
      <c r="A8" t="s">
        <v>116</v>
      </c>
      <c r="C8" t="s">
        <v>117</v>
      </c>
    </row>
    <row r="9" spans="1:9" x14ac:dyDescent="0.35">
      <c r="A9" t="s">
        <v>118</v>
      </c>
      <c r="C9" t="s">
        <v>119</v>
      </c>
      <c r="E9" t="s">
        <v>120</v>
      </c>
    </row>
    <row r="12" spans="1:9" x14ac:dyDescent="0.35">
      <c r="A12" t="s">
        <v>121</v>
      </c>
    </row>
    <row r="13" spans="1:9" x14ac:dyDescent="0.35">
      <c r="A13"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(Large) EXTERNAL COMPONENTS</vt:lpstr>
      <vt:lpstr>(MINI) EXTERNAL COMPONENTS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2026-02-04T15:28:10Z</dcterms:modified>
</cp:coreProperties>
</file>