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533" activeTab="1"/>
  </bookViews>
  <sheets>
    <sheet name="PWR MGT" sheetId="1" r:id="rId1"/>
    <sheet name="MCU" sheetId="5" r:id="rId2"/>
    <sheet name="ACTUATORS" sheetId="4" r:id="rId3"/>
    <sheet name="SENSORS" sheetId="3" r:id="rId4"/>
    <sheet name="USER INTERFACE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8" l="1"/>
  <c r="J37" i="3"/>
  <c r="J33" i="4"/>
  <c r="J44" i="5"/>
  <c r="J27" i="1"/>
</calcChain>
</file>

<file path=xl/sharedStrings.xml><?xml version="1.0" encoding="utf-8"?>
<sst xmlns="http://schemas.openxmlformats.org/spreadsheetml/2006/main" count="1137" uniqueCount="417">
  <si>
    <t>Component</t>
  </si>
  <si>
    <t>Manufacturer</t>
  </si>
  <si>
    <t>Manufacturer Part Number</t>
  </si>
  <si>
    <t>Footprint</t>
  </si>
  <si>
    <t>Supplier</t>
  </si>
  <si>
    <t>Supplier Part Number</t>
  </si>
  <si>
    <t>Notes</t>
  </si>
  <si>
    <t>input connector</t>
  </si>
  <si>
    <t>C1</t>
  </si>
  <si>
    <t>Label</t>
  </si>
  <si>
    <t>Value</t>
  </si>
  <si>
    <t>D1</t>
  </si>
  <si>
    <t>L1</t>
  </si>
  <si>
    <t>C2</t>
  </si>
  <si>
    <t>C3</t>
  </si>
  <si>
    <t>C4</t>
  </si>
  <si>
    <t>F1</t>
  </si>
  <si>
    <t>schottky diode</t>
  </si>
  <si>
    <t>D2</t>
  </si>
  <si>
    <t>valve connector</t>
  </si>
  <si>
    <t>pump connector</t>
  </si>
  <si>
    <t>convert 12V to 5V to power 5V components. Package type TO-263 i.e. LM2596HVT -5.0 or LM2596T -5.0 [the one used in simulation has a rating of 1A. Change this to 3A when sourcing]</t>
  </si>
  <si>
    <t>Diode D1 protects the components in case battery terminals are interchanged by mistake</t>
  </si>
  <si>
    <t>C1 is a bulk capacitor. Consider an electrolyte capacitor for this scenario</t>
  </si>
  <si>
    <t>C5</t>
  </si>
  <si>
    <t>ceramic capacitor</t>
  </si>
  <si>
    <t>1 uF</t>
  </si>
  <si>
    <t>electrolytic capacitor</t>
  </si>
  <si>
    <t>C6</t>
  </si>
  <si>
    <t>1000 uF</t>
  </si>
  <si>
    <t>C7</t>
  </si>
  <si>
    <t>relay</t>
  </si>
  <si>
    <t>5 terminal relay with coil of 5V</t>
  </si>
  <si>
    <t>diode</t>
  </si>
  <si>
    <t>transistor</t>
  </si>
  <si>
    <t>resistor</t>
  </si>
  <si>
    <t>100 uF</t>
  </si>
  <si>
    <t>1k</t>
  </si>
  <si>
    <t>required a npn (2N222)</t>
  </si>
  <si>
    <t>0.1 uF</t>
  </si>
  <si>
    <t>UV lamp connector</t>
  </si>
  <si>
    <t>22 uF</t>
  </si>
  <si>
    <t>decoupling capacitor connected to pin2</t>
  </si>
  <si>
    <t>tantalum capacitor</t>
  </si>
  <si>
    <t>schottky Diode</t>
  </si>
  <si>
    <t>5.1 k</t>
  </si>
  <si>
    <t>5.1k</t>
  </si>
  <si>
    <t>connect A5 to this resistor then to ground</t>
  </si>
  <si>
    <t>connect B5 to this resistor then to ground</t>
  </si>
  <si>
    <t>10k</t>
  </si>
  <si>
    <t>C8</t>
  </si>
  <si>
    <t>C9</t>
  </si>
  <si>
    <t>C10</t>
  </si>
  <si>
    <t>C11</t>
  </si>
  <si>
    <t>C12</t>
  </si>
  <si>
    <t>C13</t>
  </si>
  <si>
    <t>C14</t>
  </si>
  <si>
    <t>D3</t>
  </si>
  <si>
    <t>D5</t>
  </si>
  <si>
    <t>D6</t>
  </si>
  <si>
    <t>R1</t>
  </si>
  <si>
    <t>R2</t>
  </si>
  <si>
    <t>R3</t>
  </si>
  <si>
    <t>R4</t>
  </si>
  <si>
    <t>R5</t>
  </si>
  <si>
    <t>R6</t>
  </si>
  <si>
    <t>D7</t>
  </si>
  <si>
    <t>D8</t>
  </si>
  <si>
    <t>D9</t>
  </si>
  <si>
    <t>R7</t>
  </si>
  <si>
    <t>R8</t>
  </si>
  <si>
    <t>Q1</t>
  </si>
  <si>
    <t>Q2</t>
  </si>
  <si>
    <t>Q3</t>
  </si>
  <si>
    <t>Input 12V from the battery consider a two pin connector Screw Terminal Block (2-pin, 5.08mm pitch)</t>
  </si>
  <si>
    <t>*Fuse-10A protects the components (determined from maximum current drawn from the circuit - calculation needed) since DC battery can supply up to 100A in case of short circuits. Prefferealbe a resettable PTC fuse</t>
  </si>
  <si>
    <t>Cixi Kefa Elec</t>
  </si>
  <si>
    <t>KF128-5.08-2P-AA</t>
  </si>
  <si>
    <t>Description</t>
  </si>
  <si>
    <t>2 Position Wire to Board Terminal Block Through Hole 5.08mm</t>
  </si>
  <si>
    <t>Price (USD)</t>
  </si>
  <si>
    <t>LCSC [https://www.lcsc.com/product-detail/C474952.html?s_z=n_C474952]</t>
  </si>
  <si>
    <t>C474952</t>
  </si>
  <si>
    <t>Symbol</t>
  </si>
  <si>
    <t>3dModel</t>
  </si>
  <si>
    <t>KF128-5.08-2P</t>
  </si>
  <si>
    <t>CONN-TH_P5.08_KF128-5.08-2P</t>
  </si>
  <si>
    <t>Yuandi</t>
  </si>
  <si>
    <t>TS-1095PS-A1B2-C3D2</t>
  </si>
  <si>
    <t>Tactile Switch SPST 180gf 4.3mm Gull Wing 6mm x 6mm Surface Mount</t>
  </si>
  <si>
    <t>LCSC [https://www.lcsc.com/product-detail/C2834918.html?s_z=n_push%2520button]</t>
  </si>
  <si>
    <t>C2834918</t>
  </si>
  <si>
    <t>KEY-SMD_4P-L6.0-W6.0-P3.90-LS9.0</t>
  </si>
  <si>
    <t>KEY-SMD_4P-L6.0-W6.0-H8.0-P3.90-LS9.0</t>
  </si>
  <si>
    <t>Power Relay 1 Form C: 1C (SPDT-CO) 5V Coil Through Hole,15.6x19.2mm</t>
  </si>
  <si>
    <t>Songle Relay</t>
  </si>
  <si>
    <t>SRD-05VDC-SL-C</t>
  </si>
  <si>
    <t>LCSC [https://www.lcsc.com/product-detail/C35449.html?s_z=n_songle%2520relay%2520%2520C37482]</t>
  </si>
  <si>
    <t>C35449</t>
  </si>
  <si>
    <t>RELAY-TH_SRD-XXVDC-XL-C</t>
  </si>
  <si>
    <t>RELAY-TH_L19.2-W15.6-H15.8</t>
  </si>
  <si>
    <t>esp32 s3 wroom 1U module</t>
  </si>
  <si>
    <t>U1</t>
  </si>
  <si>
    <t>2.4GHz ESP32-S3R8 On-board PCB Antenna -98.2dBm SMD,25.5x18mm RF Transceiver Modules and Modems RoHS</t>
  </si>
  <si>
    <t>ESPRESSIF</t>
  </si>
  <si>
    <t>ESP32-S3-WROOM-1-N16R8</t>
  </si>
  <si>
    <t>C2913202</t>
  </si>
  <si>
    <t>ESP32-S3-WROOM-1(N16R8)</t>
  </si>
  <si>
    <t>WIRELM-SMD_ESP32-S3-WROOM-1</t>
  </si>
  <si>
    <t>SR540</t>
  </si>
  <si>
    <t>16V  9A</t>
  </si>
  <si>
    <t>Polymeric PTC Resettable Fuse 16V 9A Through Hole P=5.1mm</t>
  </si>
  <si>
    <t>JDTfuse</t>
  </si>
  <si>
    <t>A16-900</t>
  </si>
  <si>
    <t>C135397</t>
  </si>
  <si>
    <t>LCSC [https://www.lcsc.com/product-detail/C135397.html]</t>
  </si>
  <si>
    <t>FUSE-TH_L15.0-W3.0-P5.08-D1.0-S1.2</t>
  </si>
  <si>
    <t>C_Polarized</t>
  </si>
  <si>
    <t>1000uF 25V Aluminum Electrolytic Capacitors Through Hole 10000hrs@125℃</t>
  </si>
  <si>
    <t>220uF 25V Aluminum Electrolytic Capacitors Through Hole 2000hrs@105℃</t>
  </si>
  <si>
    <t>100uF 10V Aluminum Electrolytic Capacitors Through Hole,D5xL11mm 4000hrs@105℃</t>
  </si>
  <si>
    <t>Rubycon</t>
  </si>
  <si>
    <t>10YXF100MFFC5X11</t>
  </si>
  <si>
    <t>C334315</t>
  </si>
  <si>
    <t>LCSC [https://www.lcsc.com/product-detail/C334315.html]</t>
  </si>
  <si>
    <t>CAP-TH_BD5.0-P2.00-D0.8-FD</t>
  </si>
  <si>
    <t>CAP-TH_D5.0×H7.0×P2.0</t>
  </si>
  <si>
    <t>XR</t>
  </si>
  <si>
    <t>XR050125T680M-V</t>
  </si>
  <si>
    <t>3A 68uH 3A Toroidal inductor ±5% Through Hole,6.7x14.9mm Fixed Inductors RoHS</t>
  </si>
  <si>
    <t>LCSC [https://www.lcsc.com/product-detail/C7462889.html?s_z=n_Toroid%2520Inductor%252068uH]</t>
  </si>
  <si>
    <t>C7462889</t>
  </si>
  <si>
    <t>IND-TH_L14.0-W6.5-P8.00-D0.6</t>
  </si>
  <si>
    <t>IND-TH_L14.0-W6.5-H14.0-P8.00-D0.6</t>
  </si>
  <si>
    <t>C</t>
  </si>
  <si>
    <t>100nF ±10% 50V Ceramic Capacitor X7R Through Hole,P=2.5mm</t>
  </si>
  <si>
    <t>100 nF (0.1 uF)</t>
  </si>
  <si>
    <t>VISHAY</t>
  </si>
  <si>
    <t>K104K10X7RF5UL2</t>
  </si>
  <si>
    <t>Capacitor_THT:C_Disc_D5.0mm_W2.5mm_P2.50mm</t>
  </si>
  <si>
    <t>LCSC https://www.lcsc.com/product-detail/C1620058.html</t>
  </si>
  <si>
    <t>C1620058</t>
  </si>
  <si>
    <t>LCSC [https://www.lcsc.com/product-detail/C2913202.html?s_z=n_C2913202]</t>
  </si>
  <si>
    <t>R_Axial_DIN0207_L6.3mm_D2.5mm_P10.16mm_Horizontal</t>
  </si>
  <si>
    <t>YAGEO</t>
  </si>
  <si>
    <t>5.1kΩ 250mW Metal Film Resistor ±100ppm/℃ ±1% Through Hole,D2.4xL6.3mm Through Hole Resistors RoHS</t>
  </si>
  <si>
    <t>MFR-25FRF52-5K1</t>
  </si>
  <si>
    <t>R</t>
  </si>
  <si>
    <t>LCSC [https://www.lcsc.com/product-detail/C1744271.html?s_z=n_resistor]</t>
  </si>
  <si>
    <t>C1744271</t>
  </si>
  <si>
    <t>1kΩ 250mW Metal Film Resistor ±100ppm/℃ ±1% Through Hole,D2.4xL6.3mm Through Hole Resistors RoHS</t>
  </si>
  <si>
    <t>10kΩ 250mW Metal Film Resistor ±100ppm/℃ ±1% Through Hole,D2.4xL6.3mm Through Hole Resistors RoHS</t>
  </si>
  <si>
    <t>onsemi</t>
  </si>
  <si>
    <t>1N4007G</t>
  </si>
  <si>
    <t>Diode 1kV 1A Through Hole DO-41</t>
  </si>
  <si>
    <t>LCSC [https://www.lcsc.com/product-detail/C232439.html?s_z=n_1N4007]</t>
  </si>
  <si>
    <t>C232439</t>
  </si>
  <si>
    <t>D</t>
  </si>
  <si>
    <t>ST(Semtech)</t>
  </si>
  <si>
    <t>2N2222A</t>
  </si>
  <si>
    <t>Bipolar (BJT) Transistor NPN 40V 600mA 250MHz 625mW Through Hole TO-92</t>
  </si>
  <si>
    <t>LCSC [https://www.lcsc.com/product-detail/C118536.html?s_z=n_2N2222]</t>
  </si>
  <si>
    <t>C118536</t>
  </si>
  <si>
    <t>2N2222</t>
  </si>
  <si>
    <t>TO-92-3_L4.9-W3.7-P1.27-L</t>
  </si>
  <si>
    <t>mosfet</t>
  </si>
  <si>
    <t>P-Channel 100V 23A 140W Through Hole TO-220</t>
  </si>
  <si>
    <t>Infineon</t>
  </si>
  <si>
    <t>IRF9540NPBF</t>
  </si>
  <si>
    <t>LCSC [https://www.lcsc.com/product-detail/C2575.html?s_z=n_p%2520mosfet]</t>
  </si>
  <si>
    <t>C2575</t>
  </si>
  <si>
    <t>TO-220-3_L10.0-W4.5-P2.54-L</t>
  </si>
  <si>
    <t>switched 5V rail</t>
  </si>
  <si>
    <t>connector (TDS)</t>
  </si>
  <si>
    <t>connector (Turbidity)</t>
  </si>
  <si>
    <t>ceremaic capacitor</t>
  </si>
  <si>
    <t>100 nF</t>
  </si>
  <si>
    <t>4.7k</t>
  </si>
  <si>
    <t>KF350-3.5-3P</t>
  </si>
  <si>
    <t>3 Position Wire to Board Terminal Block Through Hole 3.5mm</t>
  </si>
  <si>
    <t>LCSC [https://www.lcsc.com/product-detail/C474893.html?s_z=n_KF350-3P]</t>
  </si>
  <si>
    <t>C474893</t>
  </si>
  <si>
    <t>Strip the wires and screw them into the connector</t>
  </si>
  <si>
    <t>CONN-TH_3P-P3.50_KF350-3.5-3P</t>
  </si>
  <si>
    <t>3.3k</t>
  </si>
  <si>
    <t>connector (Pressure)</t>
  </si>
  <si>
    <t>connector (water flow)</t>
  </si>
  <si>
    <t>connector (color sensor)</t>
  </si>
  <si>
    <t>5P required which is not available on LCSC. Solution, use a 3P and 2P connected to form 5P</t>
  </si>
  <si>
    <t>C474893 and C474892</t>
  </si>
  <si>
    <t>KF350-3.5-3P and KF350-3.5-2P</t>
  </si>
  <si>
    <t>CONN-TH_3P-P3.50_KF350-3.5-3P and CONN TH_P3.50_KF350-3.5-2P</t>
  </si>
  <si>
    <t>CONN-TH_3P-P3.50_KF350-3.5-3P and CONN-TH_P3.50_KF350-3.5-2P</t>
  </si>
  <si>
    <t>2 Position Wire to Board Terminal Block Through Hole 3.5mm</t>
  </si>
  <si>
    <t>KF350-3.5-2P</t>
  </si>
  <si>
    <t>C474892</t>
  </si>
  <si>
    <t>LCSC [https://www.lcsc.com/product-detail/C474892.html?s_z=n_KF350-3.5-4P]</t>
  </si>
  <si>
    <t>Add 2P connectors</t>
  </si>
  <si>
    <t>CONN-TH_P3.50_KF350-3.5-2P</t>
  </si>
  <si>
    <t>connector (PH)</t>
  </si>
  <si>
    <t>connector (voltage sensor)</t>
  </si>
  <si>
    <t>current sense resistor</t>
  </si>
  <si>
    <t>0.01 ohms</t>
  </si>
  <si>
    <t>10mΩ 5W Through-hole Current Sense Resistor ±40ppm/℃ ±1% Through Hole Through Hole Resistors RoHS</t>
  </si>
  <si>
    <t>Milliohm</t>
  </si>
  <si>
    <t>HoLR-5W-10mR-1%-JZ-10</t>
  </si>
  <si>
    <t>LCSC [https://www.lcsc.com/product-detail/C508576.html?s_z=n_resistor]</t>
  </si>
  <si>
    <t>C508576</t>
  </si>
  <si>
    <t>shunt resistor to increase the range of the voltage sensor connected across the vin+ and vin- terminals</t>
  </si>
  <si>
    <t>HOLR-5W-10MR-1%-JZ-10</t>
  </si>
  <si>
    <t>RES-TH_L13.0-W4.0-P10.0</t>
  </si>
  <si>
    <t>3.3kΩ 250mW Metal Film Resistor ±100ppm/℃ ±1% Through Hole,D2.4xL6.3mm Through Hole Resistors RoHS</t>
  </si>
  <si>
    <t>4.7kΩ 250mW Metal Film Resistor ±100ppm/℃ ±1% Through Hole,D2.4xL6.3mm Through Hole Resistors RoHS</t>
  </si>
  <si>
    <t>Pin Header 6 Position 2.54mm Pitch Single Row Through Hole</t>
  </si>
  <si>
    <t>CONNFLY Elec</t>
  </si>
  <si>
    <t>DS1021-1x6SF11-B</t>
  </si>
  <si>
    <t>LCSC [https://www.lcsc.com/product-detail/C7430362.html?s_z=n_%25091x6%2520Pin%252C%25202.54mm%2520female%2520header]</t>
  </si>
  <si>
    <t>C7430362</t>
  </si>
  <si>
    <t>DS1021-1X6SF11-B</t>
  </si>
  <si>
    <t>CONN-TH_DS1021-1X6SF11-B</t>
  </si>
  <si>
    <t>connector (RESET button)</t>
  </si>
  <si>
    <t>Megastar</t>
  </si>
  <si>
    <t>ZX-XH2.54-2PZZ</t>
  </si>
  <si>
    <t>Connector Header 2 position 2.5mm Pitch 3A Through Hole -25℃~+85℃</t>
  </si>
  <si>
    <t>C7429632</t>
  </si>
  <si>
    <t>LCSC [https://www.lcsc.com/product-detail/C7429632.html?s_z=n_XH-2.54-2P%2520male]</t>
  </si>
  <si>
    <t>CONN-TH_2P-P2.50_HX25003-2A</t>
  </si>
  <si>
    <t>connector (OLED display)</t>
  </si>
  <si>
    <t>Female Header 4 Position 2.54mm Pitch Single Row Through Hole -40℃~+105℃</t>
  </si>
  <si>
    <t>BOOMELE(Boom Precision Elec)</t>
  </si>
  <si>
    <t>2.54-1*4P</t>
  </si>
  <si>
    <t>C2718488</t>
  </si>
  <si>
    <t>LCSC [https://www.lcsc.com/product-detail/C2718488.html?s_z=n_%25201x4%2520Female%2520Header%2520%282.54mm%2520pitch%29]</t>
  </si>
  <si>
    <t>2.54-1*4P母</t>
  </si>
  <si>
    <t>HDR-TH_4P-P2.54-V-F</t>
  </si>
  <si>
    <t>switch pull up resistor current limiting resistor to debounce the switch</t>
  </si>
  <si>
    <t>Red 632nm LED Indication - Discrete 2V Through Hole,D=5mm</t>
  </si>
  <si>
    <t>EVERLIGHT</t>
  </si>
  <si>
    <t>333-2SURD/S530-A3</t>
  </si>
  <si>
    <t>LCSC [https://www.lcsc.com/product-detail/C87271.html?s_z=n_Everlight%2520Elec%2520333-2SURD%252FS530-A3]</t>
  </si>
  <si>
    <t>C87271</t>
  </si>
  <si>
    <t>LED-TH_BD5.9-P2.54-RD_RED</t>
  </si>
  <si>
    <t>connector (LED Maintenace mode)</t>
  </si>
  <si>
    <t>connector (LED power ON / sleep mode)</t>
  </si>
  <si>
    <t>TOTAL</t>
  </si>
  <si>
    <t>U2</t>
  </si>
  <si>
    <t>C15</t>
  </si>
  <si>
    <t>C16</t>
  </si>
  <si>
    <t>C17</t>
  </si>
  <si>
    <t>C18</t>
  </si>
  <si>
    <t>C19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</si>
  <si>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</si>
  <si>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</si>
  <si>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</si>
  <si>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</si>
  <si>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</si>
  <si>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</si>
  <si>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</si>
  <si>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</si>
  <si>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</si>
  <si>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</si>
  <si>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</si>
  <si>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</si>
  <si>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</si>
  <si>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</si>
  <si>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</si>
  <si>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</si>
  <si>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</si>
  <si>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Q4</t>
  </si>
  <si>
    <t>Q5</t>
  </si>
  <si>
    <t>U3</t>
  </si>
  <si>
    <t>S1</t>
  </si>
  <si>
    <t>S2</t>
  </si>
  <si>
    <t>J1</t>
  </si>
  <si>
    <t>U4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</si>
  <si>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</si>
  <si>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</si>
  <si>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</si>
  <si>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</si>
  <si>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</si>
  <si>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</si>
  <si>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</si>
  <si>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</si>
  <si>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</si>
  <si>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</si>
  <si>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</si>
  <si>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</si>
  <si>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</si>
  <si>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</si>
  <si>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</si>
  <si>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K1</t>
  </si>
  <si>
    <t>K2</t>
  </si>
  <si>
    <t>K3</t>
  </si>
  <si>
    <t>D10</t>
  </si>
  <si>
    <t xml:space="preserve">L </t>
  </si>
  <si>
    <t>33 uH</t>
  </si>
  <si>
    <t xml:space="preserve">470uF / 25V </t>
  </si>
  <si>
    <t>330uF / 10V or 16V</t>
  </si>
  <si>
    <t>Inductor*</t>
  </si>
  <si>
    <t>electrolytic capacitor*</t>
  </si>
  <si>
    <t>fuse*</t>
  </si>
  <si>
    <t>buck converter*</t>
  </si>
  <si>
    <t>150kHz Buck Fixed 5V 3A TO-220-5 Voltage Regulators - DC DC Switching Regulators RoHS</t>
  </si>
  <si>
    <t>HGSEMI</t>
  </si>
  <si>
    <t>LM2595T-5.0</t>
  </si>
  <si>
    <t>LCSC [https://www.lcsc.com/product-detail/C316671.html?s_z=n_LM2595]</t>
  </si>
  <si>
    <t>C316671</t>
  </si>
  <si>
    <t>TO-220-5L_L10.2-W4.5-P1.71-L</t>
  </si>
  <si>
    <t>connector (water level)</t>
  </si>
  <si>
    <t>using 3 2P connectors to connect via the 6pin holes down</t>
  </si>
  <si>
    <t>tactile button [BOOT]</t>
  </si>
  <si>
    <t>tactile button [EN]</t>
  </si>
  <si>
    <t>ceramic capacitor*</t>
  </si>
  <si>
    <t>resistor*</t>
  </si>
  <si>
    <t>USB-C (USB TYPE-C) Receptacle Connector 16 Position Right AnglePosition Surface Mount</t>
  </si>
  <si>
    <t>XUNPU</t>
  </si>
  <si>
    <t>TYPEC-306DDW-ARP16</t>
  </si>
  <si>
    <t>LCSC [https://www.lcsc.com/product-detail/C2840393.html?s_z=n_Micro%2520USB%2520B%2520Receptacle%25205P]</t>
  </si>
  <si>
    <t>C2840393</t>
  </si>
  <si>
    <t>USB-C-TH_TYPEC-306DDW-ARP16</t>
  </si>
  <si>
    <t>usb connector*</t>
  </si>
  <si>
    <t>USB to UART chip</t>
  </si>
  <si>
    <t>Transceiver 2Mbps USB 2.0 SOP-16 Interface Controllers RoHS</t>
  </si>
  <si>
    <t>WCH</t>
  </si>
  <si>
    <t>CH340C</t>
  </si>
  <si>
    <t>LCSC [https://www.lcsc.com/product-detail/C84681.html?s_z=n_CH340C]</t>
  </si>
  <si>
    <t>C84681</t>
  </si>
  <si>
    <t>SOP-16_L10.0-W3.9-P1.27-LS6.0-BL</t>
  </si>
  <si>
    <t>SOP-16_L9.9-W3.9-H1.5-LS6.0-P1.27</t>
  </si>
  <si>
    <t>U5</t>
  </si>
  <si>
    <t>capacitor</t>
  </si>
  <si>
    <t>C20</t>
  </si>
  <si>
    <t>R26</t>
  </si>
  <si>
    <t>100nF</t>
  </si>
  <si>
    <t>R27</t>
  </si>
  <si>
    <t>prevent current from usb into the input of the converter</t>
  </si>
  <si>
    <t>D11</t>
  </si>
  <si>
    <t>C21</t>
  </si>
  <si>
    <t>C22</t>
  </si>
  <si>
    <t>C23</t>
  </si>
  <si>
    <t>0.1uF</t>
  </si>
  <si>
    <t>10uF</t>
  </si>
  <si>
    <t>LED [3.3V]</t>
  </si>
  <si>
    <t>LED [5V]</t>
  </si>
  <si>
    <t>LED [12V]</t>
  </si>
  <si>
    <t>LED [Switched 5V]</t>
  </si>
  <si>
    <t>2.2k</t>
  </si>
  <si>
    <t>2.2kΩ 250mW Metal Film Resistor ±100ppm/℃ ±1% Through Hole,D2.4xL6.3mm Through Hole Resistors RoHS</t>
  </si>
  <si>
    <t>D13</t>
  </si>
  <si>
    <t>R28</t>
  </si>
  <si>
    <t>LED</t>
  </si>
  <si>
    <t>R30</t>
  </si>
  <si>
    <t>R31</t>
  </si>
  <si>
    <t>R32</t>
  </si>
  <si>
    <t>R33</t>
  </si>
  <si>
    <t>C24</t>
  </si>
  <si>
    <t>3.3. Volatage Regulator*</t>
  </si>
  <si>
    <t>convert 5V to 3.3V for the microcontroller. Package type AMS1117 SOT-89-3L - 3.3 S:SOT-89-3L [simulation, used the MCP1702T-33] change to something with output current of 1A</t>
  </si>
  <si>
    <t>3.3V 5.5V Positive Fixed SOT-223 Voltage Regulators - Linear, Low Drop Out (LDO) Regulators RoHS</t>
  </si>
  <si>
    <t>TI</t>
  </si>
  <si>
    <t>TLV1117LV33DCYR</t>
  </si>
  <si>
    <t>LCSC [https://www.lcsc.com/product-detail/C15578.html]</t>
  </si>
  <si>
    <t>C15578</t>
  </si>
  <si>
    <t>SOT-223_L6.7-W3.5-P2.30-BR</t>
  </si>
  <si>
    <t>SOT-223-4P_L6.5-W3.5-H1.6-LS7.0-P2.30</t>
  </si>
  <si>
    <t>LCSC [https://www.lcsc.com/product-detail/C503217.html]</t>
  </si>
  <si>
    <t>C503217</t>
  </si>
  <si>
    <t>CAP-TH_BD10.0-P5.00-D1.0-FD</t>
  </si>
  <si>
    <t>CAP-TH_D10.0-H16.0-P5.00</t>
  </si>
  <si>
    <t>KNSCHA</t>
  </si>
  <si>
    <t>01EC4294SHC1000UF25V</t>
  </si>
  <si>
    <t>25YXJ470M10X12.5</t>
  </si>
  <si>
    <t>LCSC [https://www.lcsc.com/product-detail/C88740.html]</t>
  </si>
  <si>
    <t>C88740</t>
  </si>
  <si>
    <t>Econd</t>
  </si>
  <si>
    <t>330uF10V6.3x11GF</t>
  </si>
  <si>
    <t>LCSC[https://www.lcsc.com/product-detail/C49304925.html]</t>
  </si>
  <si>
    <t>C49304925</t>
  </si>
  <si>
    <t>CAP-TH_BD6.3-P2.50-D0.6-FD</t>
  </si>
  <si>
    <t>1uF ±10% 50V Ceramic Capacitor X7R Through Hole,P=5.08mm</t>
  </si>
  <si>
    <t>178MU0014</t>
  </si>
  <si>
    <t>LCSC [https://www.lcsc.com/product-detail/C5632438.html]</t>
  </si>
  <si>
    <t>C5632438</t>
  </si>
  <si>
    <t>CAP-TH_L4.4-W4.0-P5.08-D0.6</t>
  </si>
  <si>
    <t>178MU0035</t>
  </si>
  <si>
    <t>22uF ±10% 25V Tantalum Capacitors Through Hole,P=2.54mm</t>
  </si>
  <si>
    <t>LCSC [https://www.lcsc.com/product-detail/C18164676.html]</t>
  </si>
  <si>
    <t>C18164676</t>
  </si>
  <si>
    <t>CAP-TH_BD4.8-P2.54-D0.5-RD</t>
  </si>
  <si>
    <t>CAP-TH_L3.6-W2.3-P2.50-D0.5</t>
  </si>
  <si>
    <t>100uF 50V Aluminum Electrolytic Capacitors Through Hole,D6.3xL11mm 9000hrs@105℃</t>
  </si>
  <si>
    <t>Ymin</t>
  </si>
  <si>
    <t>LKMC1101H101MF</t>
  </si>
  <si>
    <t>LCSC [https://www.lcsc.com/product-detail/C442995.html]</t>
  </si>
  <si>
    <t>C442995</t>
  </si>
  <si>
    <t>CAP-TH_BD6.3-P2.50-D1.0-FD</t>
  </si>
  <si>
    <t>10uF 25V Aluminum Electrolytic Capacitors Through Hole,D4xL7mm 1000hrs@105℃</t>
  </si>
  <si>
    <t>PANASONIC</t>
  </si>
  <si>
    <t>EEAGA1E100H</t>
  </si>
  <si>
    <t>C_polarized</t>
  </si>
  <si>
    <t>LCSC [https://www.lcsc.com/product-detail/C713351.html]</t>
  </si>
  <si>
    <t>C713351</t>
  </si>
  <si>
    <t>CAP-TH_BD4.0-P2.50-D0.6-FD</t>
  </si>
  <si>
    <t>LGE</t>
  </si>
  <si>
    <t>Diode Independent 40V 5A Through Hole DO-27</t>
  </si>
  <si>
    <t>LCSC [https://www.lcsc.com/product-detail/C432150.html?s_z=n_SR540]</t>
  </si>
  <si>
    <t>C432150</t>
  </si>
  <si>
    <t>SR540_C432150</t>
  </si>
  <si>
    <t>DO-27_BD5.2-L8.9-P12.90-D1.5-RD</t>
  </si>
  <si>
    <t>DO-41_BD2.4-L4.7-P8.70-D0.9-RD</t>
  </si>
  <si>
    <t>DO-41_D2.4-L4.7-P8.70</t>
  </si>
  <si>
    <t>RES-TH_BD2.4-L6.3-P10.30-D0.6</t>
  </si>
  <si>
    <t>SW</t>
  </si>
  <si>
    <t>LED1</t>
  </si>
  <si>
    <t>LED2</t>
  </si>
  <si>
    <t>LED3</t>
  </si>
  <si>
    <t>LED4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</si>
</sst>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48118533890809E-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18" fontId="0" fillId="2" borderId="2" xfId="0" applyNumberFormat="1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0" borderId="1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0" borderId="1" xfId="0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/>
    <xf numFmtId="0" fontId="0" fillId="0" borderId="3" xfId="0" applyFill="1" applyBorder="1" applyAlignment="1">
      <alignment vertical="center" wrapText="1"/>
    </xf>
    <xf numFmtId="0" fontId="0" fillId="0" borderId="3" xfId="0" applyFill="1" applyBorder="1"/>
    <xf numFmtId="0" fontId="0" fillId="6" borderId="0" xfId="0" applyFill="1" applyBorder="1"/>
    <xf numFmtId="0" fontId="0" fillId="2" borderId="3" xfId="0" applyFill="1" applyBorder="1"/>
    <xf numFmtId="0" fontId="0" fillId="2" borderId="0" xfId="0" applyFill="1" applyBorder="1"/>
    <xf numFmtId="0" fontId="0" fillId="3" borderId="3" xfId="0" applyFill="1" applyBorder="1"/>
    <xf numFmtId="0" fontId="0" fillId="3" borderId="0" xfId="0" applyFill="1" applyBorder="1"/>
    <xf numFmtId="0" fontId="0" fillId="4" borderId="3" xfId="0" applyFill="1" applyBorder="1"/>
    <xf numFmtId="0" fontId="0" fillId="4" borderId="0" xfId="0" applyFill="1" applyBorder="1"/>
    <xf numFmtId="0" fontId="0" fillId="5" borderId="2" xfId="0" applyFill="1" applyBorder="1" applyAlignment="1">
      <alignment vertical="center" wrapText="1"/>
    </xf>
    <xf numFmtId="0" fontId="0" fillId="5" borderId="3" xfId="0" applyFill="1" applyBorder="1"/>
    <xf numFmtId="0" fontId="0" fillId="5" borderId="0" xfId="0" applyFill="1" applyBorder="1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6" borderId="3" xfId="0" applyFill="1" applyBorder="1"/>
    <xf numFmtId="0" fontId="0" fillId="6" borderId="2" xfId="0" applyFill="1" applyBorder="1" applyAlignment="1">
      <alignment vertical="center" wrapText="1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8" fontId="0" fillId="3" borderId="2" xfId="0" applyNumberFormat="1" applyFill="1" applyBorder="1"/>
    <xf numFmtId="18" fontId="0" fillId="4" borderId="2" xfId="0" applyNumberFormat="1" applyFill="1" applyBorder="1"/>
    <xf numFmtId="0" fontId="0" fillId="5" borderId="2" xfId="0" applyFill="1" applyBorder="1" applyAlignment="1">
      <alignment wrapText="1"/>
    </xf>
    <xf numFmtId="18" fontId="0" fillId="6" borderId="2" xfId="0" applyNumberFormat="1" applyFill="1" applyBorder="1"/>
    <xf numFmtId="18" fontId="0" fillId="7" borderId="2" xfId="0" applyNumberFormat="1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/>
    <xf numFmtId="18" fontId="0" fillId="8" borderId="2" xfId="0" applyNumberFormat="1" applyFill="1" applyBorder="1"/>
    <xf numFmtId="0" fontId="0" fillId="8" borderId="2" xfId="0" applyFill="1" applyBorder="1" applyAlignment="1">
      <alignment vertical="center" wrapText="1"/>
    </xf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B1" zoomScale="55" zoomScaleNormal="55" workbookViewId="0">
      <pane ySplit="1" topLeftCell="A5" activePane="bottomLeft" state="frozen"/>
      <selection pane="bottomLeft" activeCell="I21" sqref="I21"/>
    </sheetView>
  </sheetViews>
  <sheetFormatPr defaultRowHeight="14.5" x14ac:dyDescent="0.35"/>
  <cols>
    <col min="1" max="1" width="20.08984375" style="12" customWidth="1"/>
    <col min="2" max="2" width="7.6328125" style="9" customWidth="1"/>
    <col min="3" max="3" width="10.54296875" style="9" customWidth="1"/>
    <col min="4" max="4" width="12.7265625" style="9" customWidth="1"/>
    <col min="5" max="5" width="13" style="9" customWidth="1"/>
    <col min="6" max="6" width="13.08984375" style="9" customWidth="1"/>
    <col min="7" max="7" width="16.54296875" style="9" customWidth="1"/>
    <col min="8" max="9" width="9.90625" style="9" customWidth="1"/>
    <col min="10" max="10" width="8.7265625" style="9"/>
    <col min="11" max="11" width="10.36328125" style="9" customWidth="1"/>
    <col min="12" max="12" width="11.81640625" style="9" customWidth="1"/>
    <col min="13" max="13" width="19.26953125" style="19" customWidth="1"/>
    <col min="14" max="16384" width="8.7265625" style="14"/>
  </cols>
  <sheetData>
    <row r="1" spans="1:13" s="13" customFormat="1" ht="35.5" customHeight="1" x14ac:dyDescent="0.35">
      <c r="A1" s="15" t="s">
        <v>0</v>
      </c>
      <c r="B1" s="8" t="s">
        <v>9</v>
      </c>
      <c r="C1" s="8" t="s">
        <v>10</v>
      </c>
      <c r="D1" s="8" t="s">
        <v>78</v>
      </c>
      <c r="E1" s="8" t="s">
        <v>1</v>
      </c>
      <c r="F1" s="8" t="s">
        <v>2</v>
      </c>
      <c r="G1" s="8" t="s">
        <v>83</v>
      </c>
      <c r="H1" s="8" t="s">
        <v>3</v>
      </c>
      <c r="I1" s="8" t="s">
        <v>84</v>
      </c>
      <c r="J1" s="8" t="s">
        <v>80</v>
      </c>
      <c r="K1" s="8" t="s">
        <v>4</v>
      </c>
      <c r="L1" s="8" t="s">
        <v>5</v>
      </c>
      <c r="M1" s="18" t="s">
        <v>6</v>
      </c>
    </row>
    <row r="2" spans="1:13" s="13" customFormat="1" ht="14.5" customHeight="1" x14ac:dyDescent="0.35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</row>
    <row r="3" spans="1:13" s="22" customFormat="1" x14ac:dyDescent="0.35">
      <c r="A3" s="1" t="s">
        <v>7</v>
      </c>
      <c r="B3" s="2" t="s">
        <v>273</v>
      </c>
      <c r="C3" s="2"/>
      <c r="D3" s="2" t="s">
        <v>79</v>
      </c>
      <c r="E3" s="2" t="s">
        <v>76</v>
      </c>
      <c r="F3" s="2" t="s">
        <v>77</v>
      </c>
      <c r="G3" s="2" t="s">
        <v>85</v>
      </c>
      <c r="H3" s="2" t="s">
        <v>86</v>
      </c>
      <c r="I3" s="2" t="s">
        <v>86</v>
      </c>
      <c r="J3" s="2">
        <v>0.91</v>
      </c>
      <c r="K3" s="2" t="s">
        <v>81</v>
      </c>
      <c r="L3" s="2" t="s">
        <v>82</v>
      </c>
      <c r="M3" s="21" t="s">
        <v>74</v>
      </c>
    </row>
    <row r="4" spans="1:13" s="22" customFormat="1" x14ac:dyDescent="0.35">
      <c r="A4" s="1" t="s">
        <v>300</v>
      </c>
      <c r="B4" s="2" t="s">
        <v>16</v>
      </c>
      <c r="C4" s="5" t="s">
        <v>110</v>
      </c>
      <c r="D4" s="5" t="s">
        <v>111</v>
      </c>
      <c r="E4" s="2" t="s">
        <v>112</v>
      </c>
      <c r="F4" s="2" t="s">
        <v>113</v>
      </c>
      <c r="G4" s="2" t="s">
        <v>113</v>
      </c>
      <c r="H4" s="2" t="s">
        <v>116</v>
      </c>
      <c r="I4" s="2" t="s">
        <v>116</v>
      </c>
      <c r="J4" s="2">
        <v>0.4</v>
      </c>
      <c r="K4" s="2" t="s">
        <v>115</v>
      </c>
      <c r="L4" s="2" t="s">
        <v>114</v>
      </c>
      <c r="M4" s="21" t="s">
        <v>75</v>
      </c>
    </row>
    <row r="5" spans="1:13" s="22" customFormat="1" x14ac:dyDescent="0.35">
      <c r="A5" s="1" t="s">
        <v>27</v>
      </c>
      <c r="B5" s="2" t="s">
        <v>8</v>
      </c>
      <c r="C5" s="5" t="s">
        <v>29</v>
      </c>
      <c r="D5" s="5" t="s">
        <v>118</v>
      </c>
      <c r="E5" s="2" t="s">
        <v>369</v>
      </c>
      <c r="F5" s="2" t="s">
        <v>370</v>
      </c>
      <c r="G5" s="2" t="s">
        <v>117</v>
      </c>
      <c r="H5" s="2" t="s">
        <v>367</v>
      </c>
      <c r="I5" s="2" t="s">
        <v>368</v>
      </c>
      <c r="J5" s="2">
        <v>0.1</v>
      </c>
      <c r="K5" s="2" t="s">
        <v>365</v>
      </c>
      <c r="L5" s="2" t="s">
        <v>366</v>
      </c>
      <c r="M5" s="21" t="s">
        <v>23</v>
      </c>
    </row>
    <row r="6" spans="1:13" s="22" customFormat="1" x14ac:dyDescent="0.35">
      <c r="A6" s="1" t="s">
        <v>17</v>
      </c>
      <c r="B6" s="2" t="s">
        <v>11</v>
      </c>
      <c r="C6" s="2"/>
      <c r="D6" s="2" t="s">
        <v>404</v>
      </c>
      <c r="E6" s="2" t="s">
        <v>403</v>
      </c>
      <c r="F6" s="2" t="s">
        <v>109</v>
      </c>
      <c r="G6" s="2" t="s">
        <v>407</v>
      </c>
      <c r="H6" s="2" t="s">
        <v>408</v>
      </c>
      <c r="I6" s="2"/>
      <c r="J6" s="2">
        <v>0.1</v>
      </c>
      <c r="K6" s="2" t="s">
        <v>405</v>
      </c>
      <c r="L6" s="2" t="s">
        <v>406</v>
      </c>
      <c r="M6" s="21" t="s">
        <v>22</v>
      </c>
    </row>
    <row r="8" spans="1:13" s="24" customFormat="1" x14ac:dyDescent="0.35">
      <c r="A8" s="3" t="s">
        <v>301</v>
      </c>
      <c r="B8" s="4" t="s">
        <v>102</v>
      </c>
      <c r="C8" s="4"/>
      <c r="D8" s="4" t="s">
        <v>302</v>
      </c>
      <c r="E8" s="4" t="s">
        <v>303</v>
      </c>
      <c r="F8" s="4" t="s">
        <v>304</v>
      </c>
      <c r="G8" s="4" t="s">
        <v>304</v>
      </c>
      <c r="H8" s="4" t="s">
        <v>307</v>
      </c>
      <c r="I8" s="4" t="s">
        <v>306</v>
      </c>
      <c r="J8" s="4">
        <v>0.67</v>
      </c>
      <c r="K8" s="4" t="s">
        <v>305</v>
      </c>
      <c r="L8" s="4" t="s">
        <v>306</v>
      </c>
      <c r="M8" s="23" t="s">
        <v>21</v>
      </c>
    </row>
    <row r="9" spans="1:13" s="24" customFormat="1" x14ac:dyDescent="0.35">
      <c r="A9" s="3" t="s">
        <v>299</v>
      </c>
      <c r="B9" s="4" t="s">
        <v>13</v>
      </c>
      <c r="C9" s="4" t="s">
        <v>296</v>
      </c>
      <c r="D9" s="4" t="s">
        <v>119</v>
      </c>
      <c r="E9" s="4" t="s">
        <v>121</v>
      </c>
      <c r="F9" s="4" t="s">
        <v>371</v>
      </c>
      <c r="G9" s="4" t="s">
        <v>117</v>
      </c>
      <c r="H9" s="4" t="s">
        <v>367</v>
      </c>
      <c r="I9" s="4" t="s">
        <v>368</v>
      </c>
      <c r="J9" s="4">
        <v>0.2</v>
      </c>
      <c r="K9" s="4" t="s">
        <v>372</v>
      </c>
      <c r="L9" s="4" t="s">
        <v>373</v>
      </c>
      <c r="M9" s="23"/>
    </row>
    <row r="10" spans="1:13" s="24" customFormat="1" x14ac:dyDescent="0.35">
      <c r="A10" s="3" t="s">
        <v>17</v>
      </c>
      <c r="B10" s="4" t="s">
        <v>18</v>
      </c>
      <c r="C10" s="4"/>
      <c r="D10" s="2" t="s">
        <v>404</v>
      </c>
      <c r="E10" s="2" t="s">
        <v>403</v>
      </c>
      <c r="F10" s="2" t="s">
        <v>109</v>
      </c>
      <c r="G10" s="2" t="s">
        <v>407</v>
      </c>
      <c r="H10" s="2" t="s">
        <v>408</v>
      </c>
      <c r="I10" s="2"/>
      <c r="J10" s="2">
        <v>0.1</v>
      </c>
      <c r="K10" s="2" t="s">
        <v>405</v>
      </c>
      <c r="L10" s="2" t="s">
        <v>406</v>
      </c>
      <c r="M10" s="23"/>
    </row>
    <row r="11" spans="1:13" s="24" customFormat="1" x14ac:dyDescent="0.35">
      <c r="A11" s="3" t="s">
        <v>298</v>
      </c>
      <c r="B11" s="4" t="s">
        <v>12</v>
      </c>
      <c r="C11" s="4" t="s">
        <v>295</v>
      </c>
      <c r="D11" s="4" t="s">
        <v>129</v>
      </c>
      <c r="E11" s="4" t="s">
        <v>127</v>
      </c>
      <c r="F11" s="4" t="s">
        <v>128</v>
      </c>
      <c r="G11" s="4" t="s">
        <v>294</v>
      </c>
      <c r="H11" s="4" t="s">
        <v>132</v>
      </c>
      <c r="I11" s="4" t="s">
        <v>133</v>
      </c>
      <c r="J11" s="4">
        <v>0.88</v>
      </c>
      <c r="K11" s="4" t="s">
        <v>130</v>
      </c>
      <c r="L11" s="4" t="s">
        <v>131</v>
      </c>
      <c r="M11" s="23"/>
    </row>
    <row r="12" spans="1:13" s="24" customFormat="1" x14ac:dyDescent="0.35">
      <c r="A12" s="3" t="s">
        <v>299</v>
      </c>
      <c r="B12" s="4" t="s">
        <v>14</v>
      </c>
      <c r="C12" s="4" t="s">
        <v>297</v>
      </c>
      <c r="D12" s="4" t="s">
        <v>120</v>
      </c>
      <c r="E12" s="4" t="s">
        <v>374</v>
      </c>
      <c r="F12" s="4" t="s">
        <v>375</v>
      </c>
      <c r="G12" s="4" t="s">
        <v>117</v>
      </c>
      <c r="H12" s="4" t="s">
        <v>378</v>
      </c>
      <c r="I12" s="4" t="s">
        <v>378</v>
      </c>
      <c r="J12" s="4">
        <v>0.1</v>
      </c>
      <c r="K12" s="4" t="s">
        <v>376</v>
      </c>
      <c r="L12" s="4" t="s">
        <v>377</v>
      </c>
      <c r="M12" s="23"/>
    </row>
    <row r="13" spans="1:13" s="24" customFormat="1" x14ac:dyDescent="0.35">
      <c r="A13" s="3" t="s">
        <v>17</v>
      </c>
      <c r="B13" s="4" t="s">
        <v>336</v>
      </c>
      <c r="C13" s="4"/>
      <c r="D13" s="2" t="s">
        <v>404</v>
      </c>
      <c r="E13" s="2" t="s">
        <v>403</v>
      </c>
      <c r="F13" s="2" t="s">
        <v>109</v>
      </c>
      <c r="G13" s="2" t="s">
        <v>407</v>
      </c>
      <c r="H13" s="2" t="s">
        <v>408</v>
      </c>
      <c r="I13" s="2"/>
      <c r="J13" s="2">
        <v>0.1</v>
      </c>
      <c r="K13" s="2" t="s">
        <v>405</v>
      </c>
      <c r="L13" s="2" t="s">
        <v>406</v>
      </c>
      <c r="M13" s="23" t="s">
        <v>335</v>
      </c>
    </row>
    <row r="16" spans="1:13" s="26" customFormat="1" x14ac:dyDescent="0.35">
      <c r="A16" s="6" t="s">
        <v>356</v>
      </c>
      <c r="B16" s="7" t="s">
        <v>245</v>
      </c>
      <c r="C16" s="7"/>
      <c r="D16" s="7" t="s">
        <v>358</v>
      </c>
      <c r="E16" s="7" t="s">
        <v>359</v>
      </c>
      <c r="F16" s="7" t="s">
        <v>360</v>
      </c>
      <c r="G16" s="7" t="s">
        <v>360</v>
      </c>
      <c r="H16" s="7" t="s">
        <v>363</v>
      </c>
      <c r="I16" s="7" t="s">
        <v>364</v>
      </c>
      <c r="J16" s="7">
        <v>0.2</v>
      </c>
      <c r="K16" s="7" t="s">
        <v>361</v>
      </c>
      <c r="L16" s="7" t="s">
        <v>362</v>
      </c>
      <c r="M16" s="25" t="s">
        <v>357</v>
      </c>
    </row>
    <row r="17" spans="1:13" s="26" customFormat="1" x14ac:dyDescent="0.35">
      <c r="A17" s="6" t="s">
        <v>25</v>
      </c>
      <c r="B17" s="7" t="s">
        <v>15</v>
      </c>
      <c r="C17" s="7" t="s">
        <v>26</v>
      </c>
      <c r="D17" s="7" t="s">
        <v>379</v>
      </c>
      <c r="E17" s="7" t="s">
        <v>369</v>
      </c>
      <c r="F17" s="7" t="s">
        <v>380</v>
      </c>
      <c r="G17" s="7" t="s">
        <v>134</v>
      </c>
      <c r="H17" s="7" t="s">
        <v>383</v>
      </c>
      <c r="I17" s="7" t="s">
        <v>383</v>
      </c>
      <c r="J17" s="7">
        <v>0.1</v>
      </c>
      <c r="K17" s="7" t="s">
        <v>381</v>
      </c>
      <c r="L17" s="7" t="s">
        <v>382</v>
      </c>
      <c r="M17" s="25"/>
    </row>
    <row r="18" spans="1:13" s="26" customFormat="1" x14ac:dyDescent="0.35">
      <c r="A18" s="6" t="s">
        <v>25</v>
      </c>
      <c r="B18" s="7" t="s">
        <v>24</v>
      </c>
      <c r="C18" s="7" t="s">
        <v>26</v>
      </c>
      <c r="D18" s="7" t="s">
        <v>379</v>
      </c>
      <c r="E18" s="7" t="s">
        <v>369</v>
      </c>
      <c r="F18" s="7" t="s">
        <v>380</v>
      </c>
      <c r="G18" s="7" t="s">
        <v>134</v>
      </c>
      <c r="H18" s="7" t="s">
        <v>383</v>
      </c>
      <c r="I18" s="7" t="s">
        <v>383</v>
      </c>
      <c r="J18" s="7">
        <v>0.1</v>
      </c>
      <c r="K18" s="7" t="s">
        <v>381</v>
      </c>
      <c r="L18" s="7" t="s">
        <v>382</v>
      </c>
      <c r="M18" s="25"/>
    </row>
    <row r="21" spans="1:13" s="29" customFormat="1" x14ac:dyDescent="0.35">
      <c r="A21" s="16" t="s">
        <v>35</v>
      </c>
      <c r="B21" s="10" t="s">
        <v>60</v>
      </c>
      <c r="C21" s="27" t="s">
        <v>37</v>
      </c>
      <c r="D21" s="10" t="s">
        <v>150</v>
      </c>
      <c r="E21" s="27" t="s">
        <v>144</v>
      </c>
      <c r="F21" s="10" t="s">
        <v>146</v>
      </c>
      <c r="G21" s="10" t="s">
        <v>147</v>
      </c>
      <c r="H21" s="10" t="s">
        <v>411</v>
      </c>
      <c r="I21" s="10" t="s">
        <v>411</v>
      </c>
      <c r="J21" s="10">
        <v>0.1</v>
      </c>
      <c r="K21" s="10" t="s">
        <v>148</v>
      </c>
      <c r="L21" s="10" t="s">
        <v>149</v>
      </c>
      <c r="M21" s="28"/>
    </row>
    <row r="22" spans="1:13" s="29" customFormat="1" x14ac:dyDescent="0.35">
      <c r="A22" s="16" t="s">
        <v>34</v>
      </c>
      <c r="B22" s="10" t="s">
        <v>71</v>
      </c>
      <c r="C22" s="27"/>
      <c r="D22" s="10" t="s">
        <v>160</v>
      </c>
      <c r="E22" s="27" t="s">
        <v>158</v>
      </c>
      <c r="F22" s="10" t="s">
        <v>159</v>
      </c>
      <c r="G22" s="10" t="s">
        <v>163</v>
      </c>
      <c r="H22" s="10" t="s">
        <v>164</v>
      </c>
      <c r="I22" s="10" t="s">
        <v>164</v>
      </c>
      <c r="J22" s="10">
        <v>0.04</v>
      </c>
      <c r="K22" s="10" t="s">
        <v>161</v>
      </c>
      <c r="L22" s="10" t="s">
        <v>162</v>
      </c>
      <c r="M22" s="28" t="s">
        <v>38</v>
      </c>
    </row>
    <row r="23" spans="1:13" s="29" customFormat="1" x14ac:dyDescent="0.35">
      <c r="A23" s="16" t="s">
        <v>35</v>
      </c>
      <c r="B23" s="10" t="s">
        <v>61</v>
      </c>
      <c r="C23" s="27" t="s">
        <v>49</v>
      </c>
      <c r="D23" s="10" t="s">
        <v>151</v>
      </c>
      <c r="E23" s="27" t="s">
        <v>144</v>
      </c>
      <c r="F23" s="10" t="s">
        <v>146</v>
      </c>
      <c r="G23" s="10" t="s">
        <v>147</v>
      </c>
      <c r="H23" s="10" t="s">
        <v>143</v>
      </c>
      <c r="I23" s="10"/>
      <c r="J23" s="10">
        <v>0.1</v>
      </c>
      <c r="K23" s="10" t="s">
        <v>148</v>
      </c>
      <c r="L23" s="10" t="s">
        <v>149</v>
      </c>
      <c r="M23" s="28"/>
    </row>
    <row r="24" spans="1:13" s="29" customFormat="1" x14ac:dyDescent="0.35">
      <c r="A24" s="16" t="s">
        <v>165</v>
      </c>
      <c r="B24" s="10" t="s">
        <v>72</v>
      </c>
      <c r="C24" s="10"/>
      <c r="D24" s="10" t="s">
        <v>166</v>
      </c>
      <c r="E24" s="10" t="s">
        <v>167</v>
      </c>
      <c r="F24" s="10" t="s">
        <v>168</v>
      </c>
      <c r="G24" s="10" t="s">
        <v>168</v>
      </c>
      <c r="H24" s="10" t="s">
        <v>171</v>
      </c>
      <c r="I24" s="10" t="s">
        <v>171</v>
      </c>
      <c r="J24" s="10">
        <v>1.36</v>
      </c>
      <c r="K24" s="10" t="s">
        <v>169</v>
      </c>
      <c r="L24" s="10" t="s">
        <v>170</v>
      </c>
      <c r="M24" s="28" t="s">
        <v>172</v>
      </c>
    </row>
    <row r="27" spans="1:13" x14ac:dyDescent="0.35">
      <c r="A27" s="12" t="s">
        <v>244</v>
      </c>
      <c r="J27" s="9">
        <f>SUM(J3:J24)</f>
        <v>5.5600000000000005</v>
      </c>
    </row>
  </sheetData>
  <pageMargins left="0.7" right="0.7" top="0.75" bottom="0.75" header="0.3" footer="0.3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="70" zoomScaleNormal="70" workbookViewId="0">
      <pane ySplit="1" topLeftCell="A11" activePane="bottomLeft" state="frozen"/>
      <selection pane="bottomLeft" activeCell="L29" sqref="L29"/>
    </sheetView>
  </sheetViews>
  <sheetFormatPr defaultRowHeight="14.5" x14ac:dyDescent="0.35"/>
  <cols>
    <col min="1" max="1" width="18.6328125" style="12" customWidth="1"/>
    <col min="2" max="2" width="5.81640625" style="9" customWidth="1"/>
    <col min="3" max="3" width="7.90625" style="9" customWidth="1"/>
    <col min="4" max="4" width="13.7265625" style="9" customWidth="1"/>
    <col min="5" max="5" width="13.90625" style="9" customWidth="1"/>
    <col min="6" max="6" width="15.453125" style="9" customWidth="1"/>
    <col min="7" max="7" width="12.6328125" style="9" customWidth="1"/>
    <col min="8" max="8" width="11.08984375" style="9" customWidth="1"/>
    <col min="9" max="9" width="11.453125" style="9" customWidth="1"/>
    <col min="10" max="10" width="8.7265625" style="9"/>
    <col min="11" max="11" width="10.36328125" style="9" customWidth="1"/>
    <col min="12" max="12" width="11.81640625" style="9" customWidth="1"/>
    <col min="13" max="13" width="14.81640625" style="19" customWidth="1"/>
    <col min="14" max="16384" width="8.7265625" style="14"/>
  </cols>
  <sheetData>
    <row r="1" spans="1:13" s="13" customFormat="1" ht="35.5" customHeight="1" x14ac:dyDescent="0.35">
      <c r="A1" s="15" t="s">
        <v>0</v>
      </c>
      <c r="B1" s="8" t="s">
        <v>9</v>
      </c>
      <c r="C1" s="8" t="s">
        <v>10</v>
      </c>
      <c r="D1" s="8" t="s">
        <v>78</v>
      </c>
      <c r="E1" s="8" t="s">
        <v>1</v>
      </c>
      <c r="F1" s="8" t="s">
        <v>2</v>
      </c>
      <c r="G1" s="8" t="s">
        <v>83</v>
      </c>
      <c r="H1" s="8" t="s">
        <v>3</v>
      </c>
      <c r="I1" s="8" t="s">
        <v>84</v>
      </c>
      <c r="J1" s="8" t="s">
        <v>80</v>
      </c>
      <c r="K1" s="8" t="s">
        <v>4</v>
      </c>
      <c r="L1" s="8" t="s">
        <v>5</v>
      </c>
      <c r="M1" s="18" t="s">
        <v>6</v>
      </c>
    </row>
    <row r="2" spans="1:13" s="13" customFormat="1" ht="14.5" customHeight="1" x14ac:dyDescent="0.35">
      <c r="A2" s="1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18"/>
    </row>
    <row r="3" spans="1:13" s="33" customFormat="1" ht="14.5" customHeight="1" x14ac:dyDescent="0.35">
      <c r="A3" s="30" t="s">
        <v>101</v>
      </c>
      <c r="B3" s="31" t="s">
        <v>270</v>
      </c>
      <c r="C3" s="31"/>
      <c r="D3" s="31" t="s">
        <v>103</v>
      </c>
      <c r="E3" s="31" t="s">
        <v>104</v>
      </c>
      <c r="F3" s="31" t="s">
        <v>105</v>
      </c>
      <c r="G3" s="31" t="s">
        <v>107</v>
      </c>
      <c r="H3" s="31" t="s">
        <v>108</v>
      </c>
      <c r="I3" s="31" t="s">
        <v>108</v>
      </c>
      <c r="J3" s="31">
        <v>5.61</v>
      </c>
      <c r="K3" s="31" t="s">
        <v>142</v>
      </c>
      <c r="L3" s="31" t="s">
        <v>106</v>
      </c>
      <c r="M3" s="32"/>
    </row>
    <row r="4" spans="1:13" s="24" customFormat="1" x14ac:dyDescent="0.35">
      <c r="A4" s="3" t="s">
        <v>43</v>
      </c>
      <c r="B4" s="4" t="s">
        <v>28</v>
      </c>
      <c r="C4" s="4" t="s">
        <v>41</v>
      </c>
      <c r="D4" s="4" t="s">
        <v>385</v>
      </c>
      <c r="E4" s="4" t="s">
        <v>369</v>
      </c>
      <c r="F4" s="4" t="s">
        <v>384</v>
      </c>
      <c r="G4" s="4" t="s">
        <v>117</v>
      </c>
      <c r="H4" s="4" t="s">
        <v>388</v>
      </c>
      <c r="I4" s="4" t="s">
        <v>388</v>
      </c>
      <c r="J4" s="4">
        <v>0.33</v>
      </c>
      <c r="K4" s="4" t="s">
        <v>386</v>
      </c>
      <c r="L4" s="4" t="s">
        <v>387</v>
      </c>
      <c r="M4" s="23" t="s">
        <v>42</v>
      </c>
    </row>
    <row r="5" spans="1:13" s="24" customFormat="1" x14ac:dyDescent="0.35">
      <c r="A5" s="3" t="s">
        <v>25</v>
      </c>
      <c r="B5" s="4" t="s">
        <v>30</v>
      </c>
      <c r="C5" s="4" t="s">
        <v>136</v>
      </c>
      <c r="D5" s="4" t="s">
        <v>135</v>
      </c>
      <c r="E5" s="4" t="s">
        <v>137</v>
      </c>
      <c r="F5" s="4" t="s">
        <v>138</v>
      </c>
      <c r="G5" s="4" t="s">
        <v>134</v>
      </c>
      <c r="H5" s="4" t="s">
        <v>389</v>
      </c>
      <c r="I5" s="4" t="s">
        <v>389</v>
      </c>
      <c r="J5" s="4">
        <v>0.2</v>
      </c>
      <c r="K5" s="4" t="s">
        <v>140</v>
      </c>
      <c r="L5" s="4" t="s">
        <v>141</v>
      </c>
      <c r="M5" s="23" t="s">
        <v>42</v>
      </c>
    </row>
    <row r="6" spans="1:13" s="24" customFormat="1" x14ac:dyDescent="0.35">
      <c r="A6" s="3" t="s">
        <v>35</v>
      </c>
      <c r="B6" s="4" t="s">
        <v>64</v>
      </c>
      <c r="C6" s="4" t="s">
        <v>49</v>
      </c>
      <c r="D6" s="4" t="s">
        <v>151</v>
      </c>
      <c r="E6" s="4" t="s">
        <v>144</v>
      </c>
      <c r="F6" s="4" t="s">
        <v>146</v>
      </c>
      <c r="G6" s="4" t="s">
        <v>147</v>
      </c>
      <c r="H6" s="4" t="s">
        <v>143</v>
      </c>
      <c r="I6" s="4"/>
      <c r="J6" s="4">
        <v>0.1</v>
      </c>
      <c r="K6" s="4" t="s">
        <v>148</v>
      </c>
      <c r="L6" s="4" t="s">
        <v>149</v>
      </c>
      <c r="M6" s="23"/>
    </row>
    <row r="7" spans="1:13" s="24" customFormat="1" x14ac:dyDescent="0.35">
      <c r="A7" s="3" t="s">
        <v>330</v>
      </c>
      <c r="B7" s="4" t="s">
        <v>331</v>
      </c>
      <c r="C7" s="4" t="s">
        <v>333</v>
      </c>
      <c r="D7" s="4"/>
      <c r="E7" s="4"/>
      <c r="F7" s="4"/>
      <c r="G7" s="4"/>
      <c r="H7" s="4"/>
      <c r="I7" s="4"/>
      <c r="J7" s="4"/>
      <c r="K7" s="4"/>
      <c r="L7" s="4"/>
      <c r="M7" s="23"/>
    </row>
    <row r="8" spans="1:13" s="20" customFormat="1" x14ac:dyDescent="0.35">
      <c r="A8" s="17" t="s">
        <v>313</v>
      </c>
      <c r="B8" s="11" t="s">
        <v>65</v>
      </c>
      <c r="C8" s="11" t="s">
        <v>49</v>
      </c>
      <c r="D8" s="11" t="s">
        <v>151</v>
      </c>
      <c r="E8" s="36" t="s">
        <v>144</v>
      </c>
      <c r="F8" s="11" t="s">
        <v>146</v>
      </c>
      <c r="G8" s="11" t="s">
        <v>147</v>
      </c>
      <c r="H8" s="11" t="s">
        <v>143</v>
      </c>
      <c r="I8" s="11"/>
      <c r="J8" s="11">
        <v>0.1</v>
      </c>
      <c r="K8" s="11" t="s">
        <v>148</v>
      </c>
      <c r="L8" s="11" t="s">
        <v>149</v>
      </c>
      <c r="M8" s="35"/>
    </row>
    <row r="9" spans="1:13" s="24" customFormat="1" x14ac:dyDescent="0.35">
      <c r="A9" s="3" t="s">
        <v>35</v>
      </c>
      <c r="B9" s="4" t="s">
        <v>351</v>
      </c>
      <c r="C9" s="4" t="s">
        <v>177</v>
      </c>
      <c r="D9" s="4" t="s">
        <v>212</v>
      </c>
      <c r="E9" s="42" t="s">
        <v>144</v>
      </c>
      <c r="F9" s="4" t="s">
        <v>146</v>
      </c>
      <c r="G9" s="4" t="s">
        <v>147</v>
      </c>
      <c r="H9" s="4" t="s">
        <v>143</v>
      </c>
      <c r="I9" s="4"/>
      <c r="J9" s="4">
        <v>0.1</v>
      </c>
      <c r="K9" s="4" t="s">
        <v>148</v>
      </c>
      <c r="L9" s="4" t="s">
        <v>149</v>
      </c>
      <c r="M9" s="23"/>
    </row>
    <row r="10" spans="1:13" s="24" customFormat="1" x14ac:dyDescent="0.35">
      <c r="A10" s="3" t="s">
        <v>35</v>
      </c>
      <c r="B10" s="4" t="s">
        <v>352</v>
      </c>
      <c r="C10" s="4" t="s">
        <v>177</v>
      </c>
      <c r="D10" s="4" t="s">
        <v>212</v>
      </c>
      <c r="E10" s="42" t="s">
        <v>144</v>
      </c>
      <c r="F10" s="4" t="s">
        <v>146</v>
      </c>
      <c r="G10" s="4" t="s">
        <v>147</v>
      </c>
      <c r="H10" s="4" t="s">
        <v>143</v>
      </c>
      <c r="I10" s="4"/>
      <c r="J10" s="4">
        <v>0.1</v>
      </c>
      <c r="K10" s="4" t="s">
        <v>148</v>
      </c>
      <c r="L10" s="4" t="s">
        <v>149</v>
      </c>
      <c r="M10" s="23"/>
    </row>
    <row r="11" spans="1:13" s="24" customFormat="1" x14ac:dyDescent="0.35">
      <c r="A11" s="3" t="s">
        <v>35</v>
      </c>
      <c r="B11" s="4" t="s">
        <v>353</v>
      </c>
      <c r="C11" s="4" t="s">
        <v>177</v>
      </c>
      <c r="D11" s="4" t="s">
        <v>212</v>
      </c>
      <c r="E11" s="42" t="s">
        <v>144</v>
      </c>
      <c r="F11" s="4" t="s">
        <v>146</v>
      </c>
      <c r="G11" s="4" t="s">
        <v>147</v>
      </c>
      <c r="H11" s="4" t="s">
        <v>143</v>
      </c>
      <c r="I11" s="4"/>
      <c r="J11" s="4">
        <v>0.1</v>
      </c>
      <c r="K11" s="4" t="s">
        <v>148</v>
      </c>
      <c r="L11" s="4" t="s">
        <v>149</v>
      </c>
      <c r="M11" s="23"/>
    </row>
    <row r="12" spans="1:13" s="24" customFormat="1" x14ac:dyDescent="0.35">
      <c r="A12" s="3" t="s">
        <v>35</v>
      </c>
      <c r="B12" s="4" t="s">
        <v>354</v>
      </c>
      <c r="C12" s="4" t="s">
        <v>177</v>
      </c>
      <c r="D12" s="4" t="s">
        <v>212</v>
      </c>
      <c r="E12" s="42" t="s">
        <v>144</v>
      </c>
      <c r="F12" s="4" t="s">
        <v>146</v>
      </c>
      <c r="G12" s="4" t="s">
        <v>147</v>
      </c>
      <c r="H12" s="4" t="s">
        <v>143</v>
      </c>
      <c r="I12" s="4"/>
      <c r="J12" s="4">
        <v>0.1</v>
      </c>
      <c r="K12" s="4" t="s">
        <v>148</v>
      </c>
      <c r="L12" s="4" t="s">
        <v>149</v>
      </c>
      <c r="M12" s="23"/>
    </row>
    <row r="14" spans="1:13" s="26" customFormat="1" x14ac:dyDescent="0.35">
      <c r="A14" s="6" t="s">
        <v>320</v>
      </c>
      <c r="B14" s="7" t="s">
        <v>274</v>
      </c>
      <c r="C14" s="7"/>
      <c r="D14" s="7" t="s">
        <v>314</v>
      </c>
      <c r="E14" s="7" t="s">
        <v>315</v>
      </c>
      <c r="F14" s="7" t="s">
        <v>316</v>
      </c>
      <c r="G14" s="7" t="s">
        <v>316</v>
      </c>
      <c r="H14" s="7" t="s">
        <v>319</v>
      </c>
      <c r="I14" s="7" t="s">
        <v>319</v>
      </c>
      <c r="J14" s="7">
        <v>0.68</v>
      </c>
      <c r="K14" s="7" t="s">
        <v>317</v>
      </c>
      <c r="L14" s="7" t="s">
        <v>318</v>
      </c>
      <c r="M14" s="25"/>
    </row>
    <row r="15" spans="1:13" s="26" customFormat="1" x14ac:dyDescent="0.35">
      <c r="A15" s="6" t="s">
        <v>44</v>
      </c>
      <c r="B15" s="7" t="s">
        <v>57</v>
      </c>
      <c r="C15" s="7"/>
      <c r="D15" s="2" t="s">
        <v>404</v>
      </c>
      <c r="E15" s="2" t="s">
        <v>403</v>
      </c>
      <c r="F15" s="2" t="s">
        <v>109</v>
      </c>
      <c r="G15" s="2" t="s">
        <v>407</v>
      </c>
      <c r="H15" s="2" t="s">
        <v>408</v>
      </c>
      <c r="I15" s="2"/>
      <c r="J15" s="2">
        <v>0.1</v>
      </c>
      <c r="K15" s="2" t="s">
        <v>405</v>
      </c>
      <c r="L15" s="2" t="s">
        <v>406</v>
      </c>
      <c r="M15" s="25"/>
    </row>
    <row r="16" spans="1:13" s="26" customFormat="1" x14ac:dyDescent="0.35">
      <c r="A16" s="6" t="s">
        <v>35</v>
      </c>
      <c r="B16" s="7" t="s">
        <v>62</v>
      </c>
      <c r="C16" s="7" t="s">
        <v>45</v>
      </c>
      <c r="D16" s="7" t="s">
        <v>145</v>
      </c>
      <c r="E16" s="34" t="s">
        <v>144</v>
      </c>
      <c r="F16" s="7" t="s">
        <v>146</v>
      </c>
      <c r="G16" s="7" t="s">
        <v>147</v>
      </c>
      <c r="H16" s="7" t="s">
        <v>143</v>
      </c>
      <c r="I16" s="7"/>
      <c r="J16" s="7">
        <v>0.1</v>
      </c>
      <c r="K16" s="7" t="s">
        <v>148</v>
      </c>
      <c r="L16" s="7" t="s">
        <v>149</v>
      </c>
      <c r="M16" s="25" t="s">
        <v>47</v>
      </c>
    </row>
    <row r="17" spans="1:13" s="26" customFormat="1" x14ac:dyDescent="0.35">
      <c r="A17" s="6" t="s">
        <v>35</v>
      </c>
      <c r="B17" s="7" t="s">
        <v>63</v>
      </c>
      <c r="C17" s="7" t="s">
        <v>46</v>
      </c>
      <c r="D17" s="7" t="s">
        <v>145</v>
      </c>
      <c r="E17" s="34" t="s">
        <v>144</v>
      </c>
      <c r="F17" s="7" t="s">
        <v>146</v>
      </c>
      <c r="G17" s="7" t="s">
        <v>147</v>
      </c>
      <c r="H17" s="7" t="s">
        <v>143</v>
      </c>
      <c r="I17" s="7"/>
      <c r="J17" s="7">
        <v>0.1</v>
      </c>
      <c r="K17" s="7" t="s">
        <v>148</v>
      </c>
      <c r="L17" s="7" t="s">
        <v>149</v>
      </c>
      <c r="M17" s="25" t="s">
        <v>48</v>
      </c>
    </row>
    <row r="18" spans="1:13" s="26" customFormat="1" x14ac:dyDescent="0.35">
      <c r="A18" s="6"/>
      <c r="B18" s="7"/>
      <c r="C18" s="7"/>
      <c r="D18" s="7"/>
      <c r="E18" s="34"/>
      <c r="F18" s="7"/>
      <c r="G18" s="7"/>
      <c r="H18" s="7"/>
      <c r="I18" s="7"/>
      <c r="J18" s="7"/>
      <c r="K18" s="7"/>
      <c r="L18" s="7"/>
      <c r="M18" s="25"/>
    </row>
    <row r="19" spans="1:13" s="26" customFormat="1" x14ac:dyDescent="0.35">
      <c r="A19" s="6" t="s">
        <v>321</v>
      </c>
      <c r="B19" s="7" t="s">
        <v>329</v>
      </c>
      <c r="C19" s="7"/>
      <c r="D19" s="7" t="s">
        <v>322</v>
      </c>
      <c r="E19" s="34" t="s">
        <v>323</v>
      </c>
      <c r="F19" s="7" t="s">
        <v>324</v>
      </c>
      <c r="G19" s="7" t="s">
        <v>324</v>
      </c>
      <c r="H19" s="7" t="s">
        <v>327</v>
      </c>
      <c r="I19" s="7" t="s">
        <v>328</v>
      </c>
      <c r="J19" s="7">
        <v>0.56999999999999995</v>
      </c>
      <c r="K19" s="7" t="s">
        <v>325</v>
      </c>
      <c r="L19" s="7" t="s">
        <v>326</v>
      </c>
      <c r="M19" s="25"/>
    </row>
    <row r="20" spans="1:13" s="26" customFormat="1" x14ac:dyDescent="0.35">
      <c r="A20" s="6" t="s">
        <v>330</v>
      </c>
      <c r="B20" s="7" t="s">
        <v>337</v>
      </c>
      <c r="C20" s="7" t="s">
        <v>340</v>
      </c>
      <c r="D20" s="7"/>
      <c r="E20" s="34"/>
      <c r="F20" s="7"/>
      <c r="G20" s="7"/>
      <c r="H20" s="7"/>
      <c r="I20" s="7"/>
      <c r="J20" s="7"/>
      <c r="K20" s="7"/>
      <c r="L20" s="7"/>
      <c r="M20" s="25"/>
    </row>
    <row r="21" spans="1:13" s="26" customFormat="1" x14ac:dyDescent="0.35">
      <c r="A21" s="6" t="s">
        <v>27</v>
      </c>
      <c r="B21" s="7" t="s">
        <v>338</v>
      </c>
      <c r="C21" s="7" t="s">
        <v>341</v>
      </c>
      <c r="D21" s="7" t="s">
        <v>396</v>
      </c>
      <c r="E21" s="34" t="s">
        <v>397</v>
      </c>
      <c r="F21" s="7" t="s">
        <v>398</v>
      </c>
      <c r="G21" s="7" t="s">
        <v>399</v>
      </c>
      <c r="H21" s="7" t="s">
        <v>402</v>
      </c>
      <c r="I21" s="7" t="s">
        <v>402</v>
      </c>
      <c r="J21" s="7">
        <v>0.1</v>
      </c>
      <c r="K21" s="7" t="s">
        <v>400</v>
      </c>
      <c r="L21" s="7" t="s">
        <v>401</v>
      </c>
      <c r="M21" s="25"/>
    </row>
    <row r="22" spans="1:13" s="26" customFormat="1" x14ac:dyDescent="0.35">
      <c r="A22" s="6" t="s">
        <v>330</v>
      </c>
      <c r="B22" s="7" t="s">
        <v>339</v>
      </c>
      <c r="C22" s="7" t="s">
        <v>340</v>
      </c>
      <c r="D22" s="7"/>
      <c r="E22" s="34"/>
      <c r="F22" s="7"/>
      <c r="G22" s="7"/>
      <c r="H22" s="7"/>
      <c r="I22" s="7"/>
      <c r="J22" s="7"/>
      <c r="K22" s="7"/>
      <c r="L22" s="7"/>
      <c r="M22" s="25"/>
    </row>
    <row r="25" spans="1:13" s="29" customFormat="1" ht="14.5" customHeight="1" x14ac:dyDescent="0.35">
      <c r="A25" s="16" t="s">
        <v>311</v>
      </c>
      <c r="B25" s="10" t="s">
        <v>271</v>
      </c>
      <c r="C25" s="10"/>
      <c r="D25" s="10" t="s">
        <v>89</v>
      </c>
      <c r="E25" s="10" t="s">
        <v>87</v>
      </c>
      <c r="F25" s="10" t="s">
        <v>88</v>
      </c>
      <c r="G25" s="10" t="s">
        <v>412</v>
      </c>
      <c r="H25" s="10" t="s">
        <v>92</v>
      </c>
      <c r="I25" s="10" t="s">
        <v>93</v>
      </c>
      <c r="J25" s="10">
        <v>0.53</v>
      </c>
      <c r="K25" s="10" t="s">
        <v>90</v>
      </c>
      <c r="L25" s="10" t="s">
        <v>91</v>
      </c>
      <c r="M25" s="28"/>
    </row>
    <row r="26" spans="1:13" s="29" customFormat="1" ht="14.5" customHeight="1" x14ac:dyDescent="0.35">
      <c r="A26" s="16" t="s">
        <v>312</v>
      </c>
      <c r="B26" s="10" t="s">
        <v>50</v>
      </c>
      <c r="C26" s="10" t="s">
        <v>26</v>
      </c>
      <c r="D26" s="7" t="s">
        <v>379</v>
      </c>
      <c r="E26" s="7" t="s">
        <v>369</v>
      </c>
      <c r="F26" s="7" t="s">
        <v>380</v>
      </c>
      <c r="G26" s="7" t="s">
        <v>134</v>
      </c>
      <c r="H26" s="7" t="s">
        <v>383</v>
      </c>
      <c r="I26" s="7" t="s">
        <v>383</v>
      </c>
      <c r="J26" s="7">
        <v>0.1</v>
      </c>
      <c r="K26" s="7" t="s">
        <v>381</v>
      </c>
      <c r="L26" s="7" t="s">
        <v>382</v>
      </c>
      <c r="M26" s="28"/>
    </row>
    <row r="27" spans="1:13" ht="14.5" customHeight="1" x14ac:dyDescent="0.35"/>
    <row r="29" spans="1:13" s="20" customFormat="1" x14ac:dyDescent="0.35">
      <c r="A29" s="17" t="s">
        <v>310</v>
      </c>
      <c r="B29" s="11" t="s">
        <v>272</v>
      </c>
      <c r="C29" s="11"/>
      <c r="D29" s="11" t="s">
        <v>89</v>
      </c>
      <c r="E29" s="11" t="s">
        <v>87</v>
      </c>
      <c r="F29" s="11" t="s">
        <v>88</v>
      </c>
      <c r="G29" s="11" t="s">
        <v>412</v>
      </c>
      <c r="H29" s="10" t="s">
        <v>92</v>
      </c>
      <c r="I29" s="10" t="s">
        <v>93</v>
      </c>
      <c r="J29" s="11">
        <v>0.53</v>
      </c>
      <c r="K29" s="11" t="s">
        <v>90</v>
      </c>
      <c r="L29" s="11" t="s">
        <v>91</v>
      </c>
      <c r="M29" s="35"/>
    </row>
    <row r="30" spans="1:13" s="20" customFormat="1" ht="14.5" customHeight="1" x14ac:dyDescent="0.35">
      <c r="A30" s="17" t="s">
        <v>312</v>
      </c>
      <c r="B30" s="11" t="s">
        <v>51</v>
      </c>
      <c r="C30" s="11" t="s">
        <v>26</v>
      </c>
      <c r="D30" s="7" t="s">
        <v>379</v>
      </c>
      <c r="E30" s="7" t="s">
        <v>369</v>
      </c>
      <c r="F30" s="7" t="s">
        <v>380</v>
      </c>
      <c r="G30" s="7" t="s">
        <v>134</v>
      </c>
      <c r="H30" s="7" t="s">
        <v>383</v>
      </c>
      <c r="I30" s="7" t="s">
        <v>383</v>
      </c>
      <c r="J30" s="7">
        <v>0.1</v>
      </c>
      <c r="K30" s="7" t="s">
        <v>381</v>
      </c>
      <c r="L30" s="7" t="s">
        <v>382</v>
      </c>
      <c r="M30" s="35"/>
    </row>
    <row r="33" spans="1:13" s="40" customFormat="1" x14ac:dyDescent="0.35">
      <c r="A33" s="37" t="s">
        <v>342</v>
      </c>
      <c r="B33" s="38" t="s">
        <v>413</v>
      </c>
      <c r="C33" s="38"/>
      <c r="D33" s="38" t="s">
        <v>236</v>
      </c>
      <c r="E33" s="38" t="s">
        <v>237</v>
      </c>
      <c r="F33" s="38" t="s">
        <v>238</v>
      </c>
      <c r="G33" s="38" t="s">
        <v>350</v>
      </c>
      <c r="H33" s="38" t="s">
        <v>241</v>
      </c>
      <c r="I33" s="38" t="s">
        <v>241</v>
      </c>
      <c r="J33" s="38">
        <v>0.1</v>
      </c>
      <c r="K33" s="38" t="s">
        <v>239</v>
      </c>
      <c r="L33" s="38" t="s">
        <v>240</v>
      </c>
      <c r="M33" s="39"/>
    </row>
    <row r="34" spans="1:13" s="40" customFormat="1" x14ac:dyDescent="0.35">
      <c r="A34" s="37" t="s">
        <v>35</v>
      </c>
      <c r="B34" s="38" t="s">
        <v>69</v>
      </c>
      <c r="C34" s="38" t="s">
        <v>37</v>
      </c>
      <c r="D34" s="38" t="s">
        <v>150</v>
      </c>
      <c r="E34" s="41" t="s">
        <v>144</v>
      </c>
      <c r="F34" s="38" t="s">
        <v>146</v>
      </c>
      <c r="G34" s="38" t="s">
        <v>147</v>
      </c>
      <c r="H34" s="38" t="s">
        <v>143</v>
      </c>
      <c r="I34" s="38"/>
      <c r="J34" s="38">
        <v>0.1</v>
      </c>
      <c r="K34" s="38" t="s">
        <v>148</v>
      </c>
      <c r="L34" s="38" t="s">
        <v>149</v>
      </c>
      <c r="M34" s="39"/>
    </row>
    <row r="35" spans="1:13" s="40" customFormat="1" x14ac:dyDescent="0.35">
      <c r="A35" s="37"/>
      <c r="B35" s="38"/>
      <c r="C35" s="38"/>
      <c r="D35" s="38"/>
      <c r="E35" s="41"/>
      <c r="F35" s="38"/>
      <c r="G35" s="38"/>
      <c r="H35" s="38"/>
      <c r="I35" s="38"/>
      <c r="J35" s="38"/>
      <c r="K35" s="38"/>
      <c r="L35" s="38"/>
      <c r="M35" s="39"/>
    </row>
    <row r="36" spans="1:13" s="40" customFormat="1" x14ac:dyDescent="0.35">
      <c r="A36" s="37" t="s">
        <v>343</v>
      </c>
      <c r="B36" s="38" t="s">
        <v>414</v>
      </c>
      <c r="C36" s="38"/>
      <c r="D36" s="38" t="s">
        <v>236</v>
      </c>
      <c r="E36" s="38" t="s">
        <v>237</v>
      </c>
      <c r="F36" s="38" t="s">
        <v>238</v>
      </c>
      <c r="G36" s="38" t="s">
        <v>350</v>
      </c>
      <c r="H36" s="38" t="s">
        <v>241</v>
      </c>
      <c r="I36" s="38" t="s">
        <v>241</v>
      </c>
      <c r="J36" s="38">
        <v>0.1</v>
      </c>
      <c r="K36" s="38" t="s">
        <v>239</v>
      </c>
      <c r="L36" s="38" t="s">
        <v>240</v>
      </c>
      <c r="M36" s="39"/>
    </row>
    <row r="37" spans="1:13" s="40" customFormat="1" x14ac:dyDescent="0.35">
      <c r="A37" s="37" t="s">
        <v>313</v>
      </c>
      <c r="B37" s="38" t="s">
        <v>332</v>
      </c>
      <c r="C37" s="38" t="s">
        <v>346</v>
      </c>
      <c r="D37" s="38" t="s">
        <v>347</v>
      </c>
      <c r="E37" s="41" t="s">
        <v>144</v>
      </c>
      <c r="F37" s="38" t="s">
        <v>146</v>
      </c>
      <c r="G37" s="38" t="s">
        <v>147</v>
      </c>
      <c r="H37" s="38" t="s">
        <v>143</v>
      </c>
      <c r="I37" s="38"/>
      <c r="J37" s="38">
        <v>0.1</v>
      </c>
      <c r="K37" s="38" t="s">
        <v>148</v>
      </c>
      <c r="L37" s="38" t="s">
        <v>149</v>
      </c>
      <c r="M37" s="39"/>
    </row>
    <row r="38" spans="1:13" s="40" customFormat="1" x14ac:dyDescent="0.35">
      <c r="A38" s="37"/>
      <c r="B38" s="38" t="s">
        <v>415</v>
      </c>
      <c r="C38" s="38"/>
      <c r="D38" s="38"/>
      <c r="E38" s="41"/>
      <c r="F38" s="38"/>
      <c r="G38" s="38"/>
      <c r="H38" s="38"/>
      <c r="I38" s="38"/>
      <c r="J38" s="38"/>
      <c r="K38" s="38"/>
      <c r="L38" s="38"/>
      <c r="M38" s="39"/>
    </row>
    <row r="39" spans="1:13" s="40" customFormat="1" x14ac:dyDescent="0.35">
      <c r="A39" s="37" t="s">
        <v>345</v>
      </c>
      <c r="B39" s="38" t="s">
        <v>348</v>
      </c>
      <c r="C39" s="38"/>
      <c r="D39" s="38" t="s">
        <v>236</v>
      </c>
      <c r="E39" s="38" t="s">
        <v>237</v>
      </c>
      <c r="F39" s="38" t="s">
        <v>238</v>
      </c>
      <c r="G39" s="38" t="s">
        <v>350</v>
      </c>
      <c r="H39" s="38" t="s">
        <v>241</v>
      </c>
      <c r="I39" s="38" t="s">
        <v>241</v>
      </c>
      <c r="J39" s="38">
        <v>0.1</v>
      </c>
      <c r="K39" s="38" t="s">
        <v>239</v>
      </c>
      <c r="L39" s="38" t="s">
        <v>240</v>
      </c>
      <c r="M39" s="39"/>
    </row>
    <row r="40" spans="1:13" s="40" customFormat="1" x14ac:dyDescent="0.35">
      <c r="A40" s="37" t="s">
        <v>313</v>
      </c>
      <c r="B40" s="38" t="s">
        <v>334</v>
      </c>
      <c r="C40" s="38" t="s">
        <v>346</v>
      </c>
      <c r="D40" s="38" t="s">
        <v>347</v>
      </c>
      <c r="E40" s="41" t="s">
        <v>144</v>
      </c>
      <c r="F40" s="38" t="s">
        <v>146</v>
      </c>
      <c r="G40" s="38" t="s">
        <v>147</v>
      </c>
      <c r="H40" s="38" t="s">
        <v>143</v>
      </c>
      <c r="I40" s="38"/>
      <c r="J40" s="38">
        <v>0.1</v>
      </c>
      <c r="K40" s="38" t="s">
        <v>148</v>
      </c>
      <c r="L40" s="38" t="s">
        <v>149</v>
      </c>
      <c r="M40" s="39"/>
    </row>
    <row r="41" spans="1:13" s="40" customFormat="1" x14ac:dyDescent="0.35">
      <c r="A41" s="37"/>
      <c r="B41" s="38"/>
      <c r="C41" s="38"/>
      <c r="D41" s="38"/>
      <c r="E41" s="41"/>
      <c r="F41" s="38"/>
      <c r="G41" s="38"/>
      <c r="H41" s="38"/>
      <c r="I41" s="38"/>
      <c r="J41" s="38"/>
      <c r="K41" s="38"/>
      <c r="L41" s="38"/>
      <c r="M41" s="39"/>
    </row>
    <row r="42" spans="1:13" s="40" customFormat="1" x14ac:dyDescent="0.35">
      <c r="A42" s="37" t="s">
        <v>344</v>
      </c>
      <c r="B42" s="38" t="s">
        <v>416</v>
      </c>
      <c r="C42" s="38"/>
      <c r="D42" s="38" t="s">
        <v>236</v>
      </c>
      <c r="E42" s="38" t="s">
        <v>237</v>
      </c>
      <c r="F42" s="38" t="s">
        <v>238</v>
      </c>
      <c r="G42" s="38" t="s">
        <v>350</v>
      </c>
      <c r="H42" s="38" t="s">
        <v>241</v>
      </c>
      <c r="I42" s="38" t="s">
        <v>241</v>
      </c>
      <c r="J42" s="38">
        <v>0.1</v>
      </c>
      <c r="K42" s="38" t="s">
        <v>239</v>
      </c>
      <c r="L42" s="38" t="s">
        <v>240</v>
      </c>
      <c r="M42" s="39"/>
    </row>
    <row r="43" spans="1:13" s="40" customFormat="1" x14ac:dyDescent="0.35">
      <c r="A43" s="37" t="s">
        <v>313</v>
      </c>
      <c r="B43" s="38" t="s">
        <v>349</v>
      </c>
      <c r="C43" s="38" t="s">
        <v>49</v>
      </c>
      <c r="D43" s="38" t="s">
        <v>151</v>
      </c>
      <c r="E43" s="41" t="s">
        <v>144</v>
      </c>
      <c r="F43" s="38" t="s">
        <v>146</v>
      </c>
      <c r="G43" s="38" t="s">
        <v>147</v>
      </c>
      <c r="H43" s="38" t="s">
        <v>143</v>
      </c>
      <c r="I43" s="38"/>
      <c r="J43" s="38">
        <v>0.1</v>
      </c>
      <c r="K43" s="38" t="s">
        <v>148</v>
      </c>
      <c r="L43" s="38" t="s">
        <v>149</v>
      </c>
      <c r="M43" s="39"/>
    </row>
    <row r="44" spans="1:13" x14ac:dyDescent="0.35">
      <c r="A44" s="12" t="s">
        <v>244</v>
      </c>
      <c r="J44" s="9">
        <f>SUM(J3:J34)</f>
        <v>9.8499999999999943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B1" zoomScale="55" zoomScaleNormal="55" workbookViewId="0">
      <pane ySplit="1" topLeftCell="A2" activePane="bottomLeft" state="frozen"/>
      <selection pane="bottomLeft" activeCell="H13" sqref="H13"/>
    </sheetView>
  </sheetViews>
  <sheetFormatPr defaultRowHeight="14.5" x14ac:dyDescent="0.35"/>
  <cols>
    <col min="1" max="1" width="16.36328125" style="12" customWidth="1"/>
    <col min="2" max="2" width="8" style="9" customWidth="1"/>
    <col min="3" max="3" width="7.90625" style="9" customWidth="1"/>
    <col min="4" max="4" width="13.7265625" style="9" customWidth="1"/>
    <col min="5" max="5" width="13.6328125" style="9" customWidth="1"/>
    <col min="6" max="6" width="12.6328125" style="9" customWidth="1"/>
    <col min="7" max="7" width="13.7265625" style="9" customWidth="1"/>
    <col min="8" max="8" width="10.81640625" style="9" customWidth="1"/>
    <col min="9" max="9" width="11.453125" style="9" customWidth="1"/>
    <col min="10" max="10" width="8.7265625" style="9"/>
    <col min="11" max="11" width="10.36328125" style="9" customWidth="1"/>
    <col min="12" max="12" width="11.81640625" style="9" customWidth="1"/>
    <col min="13" max="13" width="14.81640625" style="19" customWidth="1"/>
    <col min="14" max="16384" width="8.7265625" style="14"/>
  </cols>
  <sheetData>
    <row r="1" spans="1:13" s="13" customFormat="1" ht="35.5" customHeight="1" x14ac:dyDescent="0.35">
      <c r="A1" s="15" t="s">
        <v>0</v>
      </c>
      <c r="B1" s="8" t="s">
        <v>9</v>
      </c>
      <c r="C1" s="8" t="s">
        <v>10</v>
      </c>
      <c r="D1" s="8" t="s">
        <v>78</v>
      </c>
      <c r="E1" s="8" t="s">
        <v>1</v>
      </c>
      <c r="F1" s="8" t="s">
        <v>2</v>
      </c>
      <c r="G1" s="8" t="s">
        <v>83</v>
      </c>
      <c r="H1" s="8" t="s">
        <v>3</v>
      </c>
      <c r="I1" s="8" t="s">
        <v>84</v>
      </c>
      <c r="J1" s="8" t="s">
        <v>80</v>
      </c>
      <c r="K1" s="8" t="s">
        <v>4</v>
      </c>
      <c r="L1" s="8" t="s">
        <v>5</v>
      </c>
      <c r="M1" s="18" t="s">
        <v>6</v>
      </c>
    </row>
    <row r="2" spans="1:13" x14ac:dyDescent="0.35">
      <c r="B2" s="8"/>
      <c r="C2" s="8"/>
      <c r="D2" s="8"/>
      <c r="E2" s="8"/>
      <c r="G2" s="8"/>
    </row>
    <row r="3" spans="1:13" s="22" customFormat="1" x14ac:dyDescent="0.35">
      <c r="A3" s="1" t="s">
        <v>31</v>
      </c>
      <c r="B3" s="31" t="s">
        <v>290</v>
      </c>
      <c r="C3" s="31"/>
      <c r="D3" s="2" t="s">
        <v>94</v>
      </c>
      <c r="E3" s="31" t="s">
        <v>95</v>
      </c>
      <c r="F3" s="2" t="s">
        <v>96</v>
      </c>
      <c r="G3" s="2" t="s">
        <v>96</v>
      </c>
      <c r="H3" s="2" t="s">
        <v>99</v>
      </c>
      <c r="I3" s="2" t="s">
        <v>100</v>
      </c>
      <c r="J3" s="2">
        <v>1.51</v>
      </c>
      <c r="K3" s="2" t="s">
        <v>97</v>
      </c>
      <c r="L3" s="2" t="s">
        <v>98</v>
      </c>
      <c r="M3" s="21" t="s">
        <v>32</v>
      </c>
    </row>
    <row r="4" spans="1:13" s="22" customFormat="1" x14ac:dyDescent="0.35">
      <c r="A4" s="1" t="s">
        <v>33</v>
      </c>
      <c r="B4" s="31" t="s">
        <v>58</v>
      </c>
      <c r="C4" s="31"/>
      <c r="D4" s="2" t="s">
        <v>154</v>
      </c>
      <c r="E4" s="31" t="s">
        <v>152</v>
      </c>
      <c r="F4" s="2" t="s">
        <v>153</v>
      </c>
      <c r="G4" s="2" t="s">
        <v>157</v>
      </c>
      <c r="H4" s="2" t="s">
        <v>409</v>
      </c>
      <c r="I4" s="2" t="s">
        <v>410</v>
      </c>
      <c r="J4" s="2">
        <v>0.05</v>
      </c>
      <c r="K4" s="2" t="s">
        <v>155</v>
      </c>
      <c r="L4" s="2" t="s">
        <v>156</v>
      </c>
      <c r="M4" s="21"/>
    </row>
    <row r="5" spans="1:13" s="22" customFormat="1" x14ac:dyDescent="0.35">
      <c r="A5" s="1" t="s">
        <v>34</v>
      </c>
      <c r="B5" s="31" t="s">
        <v>73</v>
      </c>
      <c r="C5" s="31"/>
      <c r="D5" s="2" t="s">
        <v>160</v>
      </c>
      <c r="E5" s="31" t="s">
        <v>158</v>
      </c>
      <c r="F5" s="2" t="s">
        <v>159</v>
      </c>
      <c r="G5" s="2" t="s">
        <v>163</v>
      </c>
      <c r="H5" s="2" t="s">
        <v>164</v>
      </c>
      <c r="I5" s="2" t="s">
        <v>164</v>
      </c>
      <c r="J5" s="2">
        <v>0.04</v>
      </c>
      <c r="K5" s="2" t="s">
        <v>161</v>
      </c>
      <c r="L5" s="2" t="s">
        <v>162</v>
      </c>
      <c r="M5" s="21" t="s">
        <v>38</v>
      </c>
    </row>
    <row r="6" spans="1:13" s="22" customFormat="1" x14ac:dyDescent="0.35">
      <c r="A6" s="1" t="s">
        <v>35</v>
      </c>
      <c r="B6" s="31" t="s">
        <v>70</v>
      </c>
      <c r="C6" s="31" t="s">
        <v>37</v>
      </c>
      <c r="D6" s="2" t="s">
        <v>150</v>
      </c>
      <c r="E6" s="31" t="s">
        <v>144</v>
      </c>
      <c r="F6" s="2" t="s">
        <v>146</v>
      </c>
      <c r="G6" s="2" t="s">
        <v>147</v>
      </c>
      <c r="H6" s="2" t="s">
        <v>143</v>
      </c>
      <c r="I6" s="2"/>
      <c r="J6" s="2">
        <v>0.1</v>
      </c>
      <c r="K6" s="2" t="s">
        <v>148</v>
      </c>
      <c r="L6" s="2" t="s">
        <v>149</v>
      </c>
      <c r="M6" s="21"/>
    </row>
    <row r="7" spans="1:13" s="22" customFormat="1" x14ac:dyDescent="0.35">
      <c r="A7" s="1" t="s">
        <v>27</v>
      </c>
      <c r="B7" s="31" t="s">
        <v>355</v>
      </c>
      <c r="C7" s="31" t="s">
        <v>36</v>
      </c>
      <c r="D7" s="2" t="s">
        <v>390</v>
      </c>
      <c r="E7" s="2" t="s">
        <v>391</v>
      </c>
      <c r="F7" s="2" t="s">
        <v>392</v>
      </c>
      <c r="G7" s="2" t="s">
        <v>117</v>
      </c>
      <c r="H7" s="2" t="s">
        <v>395</v>
      </c>
      <c r="I7" s="2" t="s">
        <v>395</v>
      </c>
      <c r="J7" s="2">
        <v>0.1</v>
      </c>
      <c r="K7" s="2" t="s">
        <v>393</v>
      </c>
      <c r="L7" s="2" t="s">
        <v>394</v>
      </c>
      <c r="M7" s="21"/>
    </row>
    <row r="8" spans="1:13" s="22" customFormat="1" x14ac:dyDescent="0.35">
      <c r="A8" s="1" t="s">
        <v>33</v>
      </c>
      <c r="B8" s="31" t="s">
        <v>59</v>
      </c>
      <c r="C8" s="31"/>
      <c r="D8" s="2" t="s">
        <v>154</v>
      </c>
      <c r="E8" s="31" t="s">
        <v>152</v>
      </c>
      <c r="F8" s="2" t="s">
        <v>153</v>
      </c>
      <c r="G8" s="2" t="s">
        <v>157</v>
      </c>
      <c r="H8" s="2" t="s">
        <v>409</v>
      </c>
      <c r="I8" s="2" t="s">
        <v>410</v>
      </c>
      <c r="J8" s="2">
        <v>0.05</v>
      </c>
      <c r="K8" s="2" t="s">
        <v>155</v>
      </c>
      <c r="L8" s="2" t="s">
        <v>156</v>
      </c>
      <c r="M8" s="21" t="s">
        <v>38</v>
      </c>
    </row>
    <row r="9" spans="1:13" s="22" customFormat="1" x14ac:dyDescent="0.35">
      <c r="A9" s="1" t="s">
        <v>25</v>
      </c>
      <c r="B9" s="31" t="s">
        <v>52</v>
      </c>
      <c r="C9" s="31" t="s">
        <v>39</v>
      </c>
      <c r="D9" s="2" t="s">
        <v>135</v>
      </c>
      <c r="E9" s="2" t="s">
        <v>137</v>
      </c>
      <c r="F9" s="2" t="s">
        <v>138</v>
      </c>
      <c r="G9" s="2" t="s">
        <v>134</v>
      </c>
      <c r="H9" s="2" t="s">
        <v>139</v>
      </c>
      <c r="I9" s="2"/>
      <c r="J9" s="2">
        <v>0.64</v>
      </c>
      <c r="K9" s="2" t="s">
        <v>140</v>
      </c>
      <c r="L9" s="2" t="s">
        <v>141</v>
      </c>
      <c r="M9" s="21"/>
    </row>
    <row r="10" spans="1:13" s="22" customFormat="1" ht="14.5" customHeight="1" x14ac:dyDescent="0.35">
      <c r="A10" s="1" t="s">
        <v>19</v>
      </c>
      <c r="B10" s="31" t="s">
        <v>275</v>
      </c>
      <c r="C10" s="31"/>
      <c r="D10" s="2" t="s">
        <v>79</v>
      </c>
      <c r="E10" s="31" t="s">
        <v>76</v>
      </c>
      <c r="F10" s="2" t="s">
        <v>77</v>
      </c>
      <c r="G10" s="2" t="s">
        <v>85</v>
      </c>
      <c r="H10" s="2" t="s">
        <v>86</v>
      </c>
      <c r="I10" s="2" t="s">
        <v>86</v>
      </c>
      <c r="J10" s="2">
        <v>0.91</v>
      </c>
      <c r="K10" s="2" t="s">
        <v>81</v>
      </c>
      <c r="L10" s="2" t="s">
        <v>82</v>
      </c>
      <c r="M10" s="21" t="s">
        <v>74</v>
      </c>
    </row>
    <row r="11" spans="1:13" x14ac:dyDescent="0.35">
      <c r="B11" s="8"/>
      <c r="C11" s="8"/>
      <c r="E11" s="8"/>
    </row>
    <row r="12" spans="1:13" s="24" customFormat="1" x14ac:dyDescent="0.35">
      <c r="A12" s="3" t="s">
        <v>31</v>
      </c>
      <c r="B12" s="42" t="s">
        <v>291</v>
      </c>
      <c r="C12" s="42"/>
      <c r="D12" s="4" t="s">
        <v>94</v>
      </c>
      <c r="E12" s="42" t="s">
        <v>95</v>
      </c>
      <c r="F12" s="4" t="s">
        <v>96</v>
      </c>
      <c r="G12" s="4" t="s">
        <v>96</v>
      </c>
      <c r="H12" s="4" t="s">
        <v>99</v>
      </c>
      <c r="I12" s="4" t="s">
        <v>100</v>
      </c>
      <c r="J12" s="4">
        <v>1.51</v>
      </c>
      <c r="K12" s="4" t="s">
        <v>97</v>
      </c>
      <c r="L12" s="4" t="s">
        <v>98</v>
      </c>
      <c r="M12" s="23" t="s">
        <v>32</v>
      </c>
    </row>
    <row r="13" spans="1:13" s="24" customFormat="1" x14ac:dyDescent="0.35">
      <c r="A13" s="3" t="s">
        <v>33</v>
      </c>
      <c r="B13" s="42" t="s">
        <v>66</v>
      </c>
      <c r="C13" s="42"/>
      <c r="D13" s="4" t="s">
        <v>154</v>
      </c>
      <c r="E13" s="42" t="s">
        <v>152</v>
      </c>
      <c r="F13" s="4" t="s">
        <v>153</v>
      </c>
      <c r="G13" s="4" t="s">
        <v>157</v>
      </c>
      <c r="H13" s="2" t="s">
        <v>409</v>
      </c>
      <c r="I13" s="2" t="s">
        <v>410</v>
      </c>
      <c r="J13" s="4">
        <v>0.05</v>
      </c>
      <c r="K13" s="4" t="s">
        <v>155</v>
      </c>
      <c r="L13" s="4" t="s">
        <v>156</v>
      </c>
      <c r="M13" s="23"/>
    </row>
    <row r="14" spans="1:13" s="24" customFormat="1" x14ac:dyDescent="0.35">
      <c r="A14" s="3" t="s">
        <v>34</v>
      </c>
      <c r="B14" s="42" t="s">
        <v>268</v>
      </c>
      <c r="C14" s="42"/>
      <c r="D14" s="4" t="s">
        <v>160</v>
      </c>
      <c r="E14" s="42" t="s">
        <v>158</v>
      </c>
      <c r="F14" s="4" t="s">
        <v>159</v>
      </c>
      <c r="G14" s="4" t="s">
        <v>163</v>
      </c>
      <c r="H14" s="4" t="s">
        <v>164</v>
      </c>
      <c r="I14" s="4" t="s">
        <v>164</v>
      </c>
      <c r="J14" s="4">
        <v>0.04</v>
      </c>
      <c r="K14" s="4" t="s">
        <v>161</v>
      </c>
      <c r="L14" s="4" t="s">
        <v>162</v>
      </c>
      <c r="M14" s="23" t="s">
        <v>38</v>
      </c>
    </row>
    <row r="15" spans="1:13" s="24" customFormat="1" x14ac:dyDescent="0.35">
      <c r="A15" s="3" t="s">
        <v>35</v>
      </c>
      <c r="B15" s="42" t="s">
        <v>251</v>
      </c>
      <c r="C15" s="42" t="s">
        <v>37</v>
      </c>
      <c r="D15" s="4" t="s">
        <v>150</v>
      </c>
      <c r="E15" s="42" t="s">
        <v>144</v>
      </c>
      <c r="F15" s="4" t="s">
        <v>146</v>
      </c>
      <c r="G15" s="4" t="s">
        <v>147</v>
      </c>
      <c r="H15" s="4" t="s">
        <v>143</v>
      </c>
      <c r="I15" s="4"/>
      <c r="J15" s="4">
        <v>0.1</v>
      </c>
      <c r="K15" s="4" t="s">
        <v>148</v>
      </c>
      <c r="L15" s="4" t="s">
        <v>149</v>
      </c>
      <c r="M15" s="23"/>
    </row>
    <row r="16" spans="1:13" s="24" customFormat="1" x14ac:dyDescent="0.35">
      <c r="A16" s="3" t="s">
        <v>27</v>
      </c>
      <c r="B16" s="42" t="s">
        <v>53</v>
      </c>
      <c r="C16" s="42" t="s">
        <v>36</v>
      </c>
      <c r="D16" s="4" t="s">
        <v>120</v>
      </c>
      <c r="E16" s="4" t="s">
        <v>121</v>
      </c>
      <c r="F16" s="4" t="s">
        <v>122</v>
      </c>
      <c r="G16" s="4" t="s">
        <v>117</v>
      </c>
      <c r="H16" s="4" t="s">
        <v>125</v>
      </c>
      <c r="I16" s="4" t="s">
        <v>126</v>
      </c>
      <c r="J16" s="4">
        <v>0.55000000000000004</v>
      </c>
      <c r="K16" s="4" t="s">
        <v>124</v>
      </c>
      <c r="L16" s="4" t="s">
        <v>123</v>
      </c>
      <c r="M16" s="23"/>
    </row>
    <row r="17" spans="1:13" s="24" customFormat="1" x14ac:dyDescent="0.35">
      <c r="A17" s="3" t="s">
        <v>33</v>
      </c>
      <c r="B17" s="42" t="s">
        <v>67</v>
      </c>
      <c r="C17" s="42"/>
      <c r="D17" s="4" t="s">
        <v>154</v>
      </c>
      <c r="E17" s="42" t="s">
        <v>152</v>
      </c>
      <c r="F17" s="4" t="s">
        <v>153</v>
      </c>
      <c r="G17" s="4" t="s">
        <v>157</v>
      </c>
      <c r="H17" s="2" t="s">
        <v>409</v>
      </c>
      <c r="I17" s="2" t="s">
        <v>410</v>
      </c>
      <c r="J17" s="4">
        <v>0.05</v>
      </c>
      <c r="K17" s="4" t="s">
        <v>155</v>
      </c>
      <c r="L17" s="4" t="s">
        <v>156</v>
      </c>
      <c r="M17" s="23" t="s">
        <v>38</v>
      </c>
    </row>
    <row r="18" spans="1:13" s="24" customFormat="1" x14ac:dyDescent="0.35">
      <c r="A18" s="3" t="s">
        <v>25</v>
      </c>
      <c r="B18" s="42" t="s">
        <v>54</v>
      </c>
      <c r="C18" s="42" t="s">
        <v>39</v>
      </c>
      <c r="D18" s="4" t="s">
        <v>135</v>
      </c>
      <c r="E18" s="4" t="s">
        <v>137</v>
      </c>
      <c r="F18" s="4" t="s">
        <v>138</v>
      </c>
      <c r="G18" s="4" t="s">
        <v>134</v>
      </c>
      <c r="H18" s="4" t="s">
        <v>139</v>
      </c>
      <c r="I18" s="4"/>
      <c r="J18" s="4">
        <v>0.64</v>
      </c>
      <c r="K18" s="4" t="s">
        <v>140</v>
      </c>
      <c r="L18" s="4" t="s">
        <v>141</v>
      </c>
      <c r="M18" s="23"/>
    </row>
    <row r="19" spans="1:13" s="24" customFormat="1" ht="14.5" customHeight="1" x14ac:dyDescent="0.35">
      <c r="A19" s="3" t="s">
        <v>20</v>
      </c>
      <c r="B19" s="42" t="s">
        <v>276</v>
      </c>
      <c r="C19" s="42"/>
      <c r="D19" s="4" t="s">
        <v>79</v>
      </c>
      <c r="E19" s="42" t="s">
        <v>76</v>
      </c>
      <c r="F19" s="4" t="s">
        <v>77</v>
      </c>
      <c r="G19" s="4" t="s">
        <v>85</v>
      </c>
      <c r="H19" s="4" t="s">
        <v>86</v>
      </c>
      <c r="I19" s="4" t="s">
        <v>86</v>
      </c>
      <c r="J19" s="4">
        <v>0.91</v>
      </c>
      <c r="K19" s="4" t="s">
        <v>81</v>
      </c>
      <c r="L19" s="4" t="s">
        <v>82</v>
      </c>
      <c r="M19" s="23" t="s">
        <v>74</v>
      </c>
    </row>
    <row r="22" spans="1:13" s="26" customFormat="1" x14ac:dyDescent="0.35">
      <c r="A22" s="6" t="s">
        <v>31</v>
      </c>
      <c r="B22" s="34" t="s">
        <v>292</v>
      </c>
      <c r="C22" s="34"/>
      <c r="D22" s="7" t="s">
        <v>94</v>
      </c>
      <c r="E22" s="34" t="s">
        <v>95</v>
      </c>
      <c r="F22" s="7" t="s">
        <v>96</v>
      </c>
      <c r="G22" s="7" t="s">
        <v>96</v>
      </c>
      <c r="H22" s="7" t="s">
        <v>99</v>
      </c>
      <c r="I22" s="7" t="s">
        <v>100</v>
      </c>
      <c r="J22" s="7">
        <v>1.51</v>
      </c>
      <c r="K22" s="7" t="s">
        <v>97</v>
      </c>
      <c r="L22" s="7" t="s">
        <v>98</v>
      </c>
      <c r="M22" s="25" t="s">
        <v>32</v>
      </c>
    </row>
    <row r="23" spans="1:13" s="26" customFormat="1" x14ac:dyDescent="0.35">
      <c r="A23" s="6" t="s">
        <v>33</v>
      </c>
      <c r="B23" s="34" t="s">
        <v>68</v>
      </c>
      <c r="C23" s="34"/>
      <c r="D23" s="7" t="s">
        <v>154</v>
      </c>
      <c r="E23" s="34" t="s">
        <v>152</v>
      </c>
      <c r="F23" s="7" t="s">
        <v>153</v>
      </c>
      <c r="G23" s="7" t="s">
        <v>157</v>
      </c>
      <c r="H23" s="2" t="s">
        <v>409</v>
      </c>
      <c r="I23" s="2" t="s">
        <v>410</v>
      </c>
      <c r="J23" s="7">
        <v>0.05</v>
      </c>
      <c r="K23" s="7" t="s">
        <v>155</v>
      </c>
      <c r="L23" s="7" t="s">
        <v>156</v>
      </c>
      <c r="M23" s="25"/>
    </row>
    <row r="24" spans="1:13" s="26" customFormat="1" x14ac:dyDescent="0.35">
      <c r="A24" s="6" t="s">
        <v>34</v>
      </c>
      <c r="B24" s="34" t="s">
        <v>269</v>
      </c>
      <c r="C24" s="34"/>
      <c r="D24" s="7" t="s">
        <v>160</v>
      </c>
      <c r="E24" s="34" t="s">
        <v>158</v>
      </c>
      <c r="F24" s="7" t="s">
        <v>159</v>
      </c>
      <c r="G24" s="7" t="s">
        <v>163</v>
      </c>
      <c r="H24" s="7" t="s">
        <v>164</v>
      </c>
      <c r="I24" s="7" t="s">
        <v>164</v>
      </c>
      <c r="J24" s="7">
        <v>0.04</v>
      </c>
      <c r="K24" s="7" t="s">
        <v>161</v>
      </c>
      <c r="L24" s="7" t="s">
        <v>162</v>
      </c>
      <c r="M24" s="25" t="s">
        <v>38</v>
      </c>
    </row>
    <row r="25" spans="1:13" s="26" customFormat="1" x14ac:dyDescent="0.35">
      <c r="A25" s="6" t="s">
        <v>35</v>
      </c>
      <c r="B25" s="34" t="s">
        <v>252</v>
      </c>
      <c r="C25" s="34" t="s">
        <v>37</v>
      </c>
      <c r="D25" s="7" t="s">
        <v>150</v>
      </c>
      <c r="E25" s="34" t="s">
        <v>144</v>
      </c>
      <c r="F25" s="7" t="s">
        <v>146</v>
      </c>
      <c r="G25" s="7" t="s">
        <v>147</v>
      </c>
      <c r="H25" s="7" t="s">
        <v>143</v>
      </c>
      <c r="I25" s="7"/>
      <c r="J25" s="7">
        <v>0.1</v>
      </c>
      <c r="K25" s="7" t="s">
        <v>148</v>
      </c>
      <c r="L25" s="7" t="s">
        <v>149</v>
      </c>
      <c r="M25" s="25"/>
    </row>
    <row r="26" spans="1:13" s="26" customFormat="1" x14ac:dyDescent="0.35">
      <c r="A26" s="6" t="s">
        <v>27</v>
      </c>
      <c r="B26" s="34" t="s">
        <v>55</v>
      </c>
      <c r="C26" s="34" t="s">
        <v>36</v>
      </c>
      <c r="D26" s="7" t="s">
        <v>120</v>
      </c>
      <c r="E26" s="7" t="s">
        <v>121</v>
      </c>
      <c r="F26" s="7" t="s">
        <v>122</v>
      </c>
      <c r="G26" s="7" t="s">
        <v>117</v>
      </c>
      <c r="H26" s="7" t="s">
        <v>125</v>
      </c>
      <c r="I26" s="7" t="s">
        <v>126</v>
      </c>
      <c r="J26" s="7">
        <v>0.55000000000000004</v>
      </c>
      <c r="K26" s="7" t="s">
        <v>124</v>
      </c>
      <c r="L26" s="7" t="s">
        <v>123</v>
      </c>
      <c r="M26" s="25"/>
    </row>
    <row r="27" spans="1:13" s="26" customFormat="1" x14ac:dyDescent="0.35">
      <c r="A27" s="6" t="s">
        <v>33</v>
      </c>
      <c r="B27" s="34" t="s">
        <v>293</v>
      </c>
      <c r="C27" s="34"/>
      <c r="D27" s="7" t="s">
        <v>154</v>
      </c>
      <c r="E27" s="34" t="s">
        <v>152</v>
      </c>
      <c r="F27" s="7" t="s">
        <v>153</v>
      </c>
      <c r="G27" s="7" t="s">
        <v>157</v>
      </c>
      <c r="H27" s="2" t="s">
        <v>409</v>
      </c>
      <c r="I27" s="2" t="s">
        <v>410</v>
      </c>
      <c r="J27" s="7">
        <v>0.05</v>
      </c>
      <c r="K27" s="7" t="s">
        <v>155</v>
      </c>
      <c r="L27" s="7" t="s">
        <v>156</v>
      </c>
      <c r="M27" s="25" t="s">
        <v>38</v>
      </c>
    </row>
    <row r="28" spans="1:13" s="26" customFormat="1" x14ac:dyDescent="0.35">
      <c r="A28" s="6" t="s">
        <v>25</v>
      </c>
      <c r="B28" s="34" t="s">
        <v>56</v>
      </c>
      <c r="C28" s="34" t="s">
        <v>39</v>
      </c>
      <c r="D28" s="7" t="s">
        <v>135</v>
      </c>
      <c r="E28" s="7" t="s">
        <v>137</v>
      </c>
      <c r="F28" s="7" t="s">
        <v>138</v>
      </c>
      <c r="G28" s="7" t="s">
        <v>134</v>
      </c>
      <c r="H28" s="7" t="s">
        <v>139</v>
      </c>
      <c r="I28" s="7"/>
      <c r="J28" s="7">
        <v>0.64</v>
      </c>
      <c r="K28" s="7" t="s">
        <v>140</v>
      </c>
      <c r="L28" s="7" t="s">
        <v>141</v>
      </c>
      <c r="M28" s="25"/>
    </row>
    <row r="29" spans="1:13" s="26" customFormat="1" ht="14.5" customHeight="1" x14ac:dyDescent="0.35">
      <c r="A29" s="6" t="s">
        <v>40</v>
      </c>
      <c r="B29" s="34" t="s">
        <v>277</v>
      </c>
      <c r="C29" s="34"/>
      <c r="D29" s="7" t="s">
        <v>79</v>
      </c>
      <c r="E29" s="34" t="s">
        <v>76</v>
      </c>
      <c r="F29" s="7" t="s">
        <v>77</v>
      </c>
      <c r="G29" s="7" t="s">
        <v>85</v>
      </c>
      <c r="H29" s="7" t="s">
        <v>86</v>
      </c>
      <c r="I29" s="7" t="s">
        <v>86</v>
      </c>
      <c r="J29" s="7">
        <v>0.91</v>
      </c>
      <c r="K29" s="7" t="s">
        <v>81</v>
      </c>
      <c r="L29" s="7" t="s">
        <v>82</v>
      </c>
      <c r="M29" s="25" t="s">
        <v>74</v>
      </c>
    </row>
    <row r="33" spans="1:10" x14ac:dyDescent="0.35">
      <c r="A33" s="12" t="s">
        <v>244</v>
      </c>
      <c r="J33" s="9">
        <f>SUM(J3:J30)</f>
        <v>11.100000000000001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="55" zoomScaleNormal="55" workbookViewId="0">
      <pane ySplit="1" topLeftCell="A2" activePane="bottomLeft" state="frozen"/>
      <selection pane="bottomLeft" activeCell="L33" sqref="L33"/>
    </sheetView>
  </sheetViews>
  <sheetFormatPr defaultRowHeight="14.5" x14ac:dyDescent="0.35"/>
  <cols>
    <col min="1" max="1" width="17.54296875" style="12" customWidth="1"/>
    <col min="2" max="2" width="7.7265625" style="9" customWidth="1"/>
    <col min="3" max="3" width="7.90625" style="9" customWidth="1"/>
    <col min="4" max="5" width="13.7265625" style="9" customWidth="1"/>
    <col min="6" max="7" width="12.6328125" style="9" customWidth="1"/>
    <col min="8" max="10" width="8.7265625" style="9"/>
    <col min="11" max="11" width="10.36328125" style="9" customWidth="1"/>
    <col min="12" max="12" width="11.81640625" style="9" customWidth="1"/>
    <col min="13" max="13" width="14.81640625" style="19" customWidth="1"/>
    <col min="14" max="16384" width="8.7265625" style="14"/>
  </cols>
  <sheetData>
    <row r="1" spans="1:14" s="13" customFormat="1" ht="35.5" customHeight="1" x14ac:dyDescent="0.35">
      <c r="A1" s="15" t="s">
        <v>0</v>
      </c>
      <c r="B1" s="8" t="s">
        <v>9</v>
      </c>
      <c r="C1" s="8" t="s">
        <v>10</v>
      </c>
      <c r="D1" s="8" t="s">
        <v>78</v>
      </c>
      <c r="E1" s="8" t="s">
        <v>1</v>
      </c>
      <c r="F1" s="8" t="s">
        <v>2</v>
      </c>
      <c r="G1" s="8" t="s">
        <v>83</v>
      </c>
      <c r="H1" s="8" t="s">
        <v>3</v>
      </c>
      <c r="I1" s="8" t="s">
        <v>84</v>
      </c>
      <c r="J1" s="8" t="s">
        <v>80</v>
      </c>
      <c r="K1" s="8" t="s">
        <v>4</v>
      </c>
      <c r="L1" s="8" t="s">
        <v>5</v>
      </c>
      <c r="M1" s="18" t="s">
        <v>6</v>
      </c>
    </row>
    <row r="2" spans="1:14" x14ac:dyDescent="0.35">
      <c r="B2" s="8"/>
      <c r="C2" s="8"/>
      <c r="D2" s="8"/>
      <c r="E2" s="8"/>
    </row>
    <row r="3" spans="1:14" s="22" customFormat="1" x14ac:dyDescent="0.35">
      <c r="A3" s="1" t="s">
        <v>174</v>
      </c>
      <c r="B3" s="2" t="s">
        <v>278</v>
      </c>
      <c r="C3" s="2"/>
      <c r="D3" s="2" t="s">
        <v>179</v>
      </c>
      <c r="E3" s="2" t="s">
        <v>76</v>
      </c>
      <c r="F3" s="2" t="s">
        <v>178</v>
      </c>
      <c r="G3" s="2" t="s">
        <v>178</v>
      </c>
      <c r="H3" s="2" t="s">
        <v>183</v>
      </c>
      <c r="I3" s="2" t="s">
        <v>183</v>
      </c>
      <c r="J3" s="2">
        <v>0.2</v>
      </c>
      <c r="K3" s="2" t="s">
        <v>180</v>
      </c>
      <c r="L3" s="2" t="s">
        <v>181</v>
      </c>
      <c r="M3" s="21" t="s">
        <v>182</v>
      </c>
    </row>
    <row r="4" spans="1:14" s="22" customFormat="1" x14ac:dyDescent="0.35">
      <c r="A4" s="1" t="s">
        <v>35</v>
      </c>
      <c r="B4" s="2" t="s">
        <v>253</v>
      </c>
      <c r="C4" s="5" t="s">
        <v>184</v>
      </c>
      <c r="D4" s="2" t="s">
        <v>211</v>
      </c>
      <c r="E4" s="31" t="s">
        <v>144</v>
      </c>
      <c r="F4" s="2" t="s">
        <v>146</v>
      </c>
      <c r="G4" s="2" t="s">
        <v>147</v>
      </c>
      <c r="H4" s="2" t="s">
        <v>143</v>
      </c>
      <c r="I4" s="2"/>
      <c r="J4" s="2">
        <v>0.1</v>
      </c>
      <c r="K4" s="2" t="s">
        <v>148</v>
      </c>
      <c r="L4" s="2" t="s">
        <v>149</v>
      </c>
      <c r="M4" s="21"/>
    </row>
    <row r="5" spans="1:14" s="22" customFormat="1" x14ac:dyDescent="0.35">
      <c r="A5" s="1" t="s">
        <v>35</v>
      </c>
      <c r="B5" s="2" t="s">
        <v>254</v>
      </c>
      <c r="C5" s="2" t="s">
        <v>177</v>
      </c>
      <c r="D5" s="2" t="s">
        <v>212</v>
      </c>
      <c r="E5" s="31" t="s">
        <v>144</v>
      </c>
      <c r="F5" s="2" t="s">
        <v>146</v>
      </c>
      <c r="G5" s="2" t="s">
        <v>147</v>
      </c>
      <c r="H5" s="2" t="s">
        <v>143</v>
      </c>
      <c r="I5" s="2"/>
      <c r="J5" s="2">
        <v>0.1</v>
      </c>
      <c r="K5" s="2" t="s">
        <v>148</v>
      </c>
      <c r="L5" s="2" t="s">
        <v>149</v>
      </c>
      <c r="M5" s="21"/>
    </row>
    <row r="6" spans="1:14" s="22" customFormat="1" x14ac:dyDescent="0.35">
      <c r="A6" s="1" t="s">
        <v>175</v>
      </c>
      <c r="B6" s="2" t="s">
        <v>246</v>
      </c>
      <c r="C6" s="2" t="s">
        <v>176</v>
      </c>
      <c r="D6" s="2" t="s">
        <v>136</v>
      </c>
      <c r="E6" s="2" t="s">
        <v>135</v>
      </c>
      <c r="F6" s="2" t="s">
        <v>137</v>
      </c>
      <c r="G6" s="2" t="s">
        <v>138</v>
      </c>
      <c r="H6" s="2" t="s">
        <v>134</v>
      </c>
      <c r="I6" s="2" t="s">
        <v>139</v>
      </c>
      <c r="J6" s="2"/>
      <c r="K6" s="2">
        <v>0.64</v>
      </c>
      <c r="L6" s="2" t="s">
        <v>140</v>
      </c>
      <c r="M6" s="21" t="s">
        <v>141</v>
      </c>
      <c r="N6" s="22" t="s">
        <v>42</v>
      </c>
    </row>
    <row r="8" spans="1:14" s="24" customFormat="1" x14ac:dyDescent="0.35">
      <c r="A8" s="3" t="s">
        <v>185</v>
      </c>
      <c r="B8" s="4" t="s">
        <v>279</v>
      </c>
      <c r="C8" s="4"/>
      <c r="D8" s="4" t="s">
        <v>179</v>
      </c>
      <c r="E8" s="4" t="s">
        <v>76</v>
      </c>
      <c r="F8" s="4" t="s">
        <v>178</v>
      </c>
      <c r="G8" s="4" t="s">
        <v>178</v>
      </c>
      <c r="H8" s="4" t="s">
        <v>183</v>
      </c>
      <c r="I8" s="4" t="s">
        <v>183</v>
      </c>
      <c r="J8" s="4">
        <v>0.2</v>
      </c>
      <c r="K8" s="4" t="s">
        <v>180</v>
      </c>
      <c r="L8" s="4" t="s">
        <v>181</v>
      </c>
      <c r="M8" s="23" t="s">
        <v>182</v>
      </c>
    </row>
    <row r="9" spans="1:14" s="24" customFormat="1" x14ac:dyDescent="0.35">
      <c r="A9" s="3" t="s">
        <v>35</v>
      </c>
      <c r="B9" s="4" t="s">
        <v>255</v>
      </c>
      <c r="C9" s="43" t="s">
        <v>184</v>
      </c>
      <c r="D9" s="4" t="s">
        <v>211</v>
      </c>
      <c r="E9" s="42" t="s">
        <v>144</v>
      </c>
      <c r="F9" s="4" t="s">
        <v>146</v>
      </c>
      <c r="G9" s="4" t="s">
        <v>147</v>
      </c>
      <c r="H9" s="4" t="s">
        <v>143</v>
      </c>
      <c r="I9" s="4"/>
      <c r="J9" s="4">
        <v>0.1</v>
      </c>
      <c r="K9" s="4" t="s">
        <v>148</v>
      </c>
      <c r="L9" s="4" t="s">
        <v>149</v>
      </c>
      <c r="M9" s="23"/>
    </row>
    <row r="10" spans="1:14" s="24" customFormat="1" x14ac:dyDescent="0.35">
      <c r="A10" s="3" t="s">
        <v>35</v>
      </c>
      <c r="B10" s="4" t="s">
        <v>256</v>
      </c>
      <c r="C10" s="4" t="s">
        <v>177</v>
      </c>
      <c r="D10" s="4" t="s">
        <v>212</v>
      </c>
      <c r="E10" s="42" t="s">
        <v>144</v>
      </c>
      <c r="F10" s="4" t="s">
        <v>146</v>
      </c>
      <c r="G10" s="4" t="s">
        <v>147</v>
      </c>
      <c r="H10" s="4" t="s">
        <v>143</v>
      </c>
      <c r="I10" s="4"/>
      <c r="J10" s="4">
        <v>0.1</v>
      </c>
      <c r="K10" s="4" t="s">
        <v>148</v>
      </c>
      <c r="L10" s="4" t="s">
        <v>149</v>
      </c>
      <c r="M10" s="23"/>
    </row>
    <row r="11" spans="1:14" s="24" customFormat="1" x14ac:dyDescent="0.35">
      <c r="A11" s="3" t="s">
        <v>175</v>
      </c>
      <c r="B11" s="4" t="s">
        <v>247</v>
      </c>
      <c r="C11" s="4" t="s">
        <v>176</v>
      </c>
      <c r="D11" s="4" t="s">
        <v>136</v>
      </c>
      <c r="E11" s="4" t="s">
        <v>135</v>
      </c>
      <c r="F11" s="4" t="s">
        <v>137</v>
      </c>
      <c r="G11" s="4" t="s">
        <v>138</v>
      </c>
      <c r="H11" s="4" t="s">
        <v>134</v>
      </c>
      <c r="I11" s="4" t="s">
        <v>139</v>
      </c>
      <c r="J11" s="4"/>
      <c r="K11" s="4">
        <v>0.64</v>
      </c>
      <c r="L11" s="4" t="s">
        <v>140</v>
      </c>
      <c r="M11" s="23" t="s">
        <v>141</v>
      </c>
      <c r="N11" s="24" t="s">
        <v>42</v>
      </c>
    </row>
    <row r="13" spans="1:14" s="26" customFormat="1" x14ac:dyDescent="0.35">
      <c r="A13" s="6" t="s">
        <v>186</v>
      </c>
      <c r="B13" s="7" t="s">
        <v>280</v>
      </c>
      <c r="C13" s="7"/>
      <c r="D13" s="7" t="s">
        <v>179</v>
      </c>
      <c r="E13" s="7" t="s">
        <v>76</v>
      </c>
      <c r="F13" s="7" t="s">
        <v>178</v>
      </c>
      <c r="G13" s="7" t="s">
        <v>178</v>
      </c>
      <c r="H13" s="7" t="s">
        <v>183</v>
      </c>
      <c r="I13" s="7" t="s">
        <v>183</v>
      </c>
      <c r="J13" s="7">
        <v>0.2</v>
      </c>
      <c r="K13" s="7" t="s">
        <v>180</v>
      </c>
      <c r="L13" s="7" t="s">
        <v>181</v>
      </c>
      <c r="M13" s="25" t="s">
        <v>182</v>
      </c>
    </row>
    <row r="14" spans="1:14" s="26" customFormat="1" x14ac:dyDescent="0.35">
      <c r="A14" s="6" t="s">
        <v>35</v>
      </c>
      <c r="B14" s="7" t="s">
        <v>257</v>
      </c>
      <c r="C14" s="44" t="s">
        <v>184</v>
      </c>
      <c r="D14" s="7" t="s">
        <v>211</v>
      </c>
      <c r="E14" s="34" t="s">
        <v>144</v>
      </c>
      <c r="F14" s="7" t="s">
        <v>146</v>
      </c>
      <c r="G14" s="7" t="s">
        <v>147</v>
      </c>
      <c r="H14" s="7" t="s">
        <v>143</v>
      </c>
      <c r="I14" s="7"/>
      <c r="J14" s="7">
        <v>0.1</v>
      </c>
      <c r="K14" s="7" t="s">
        <v>148</v>
      </c>
      <c r="L14" s="7" t="s">
        <v>149</v>
      </c>
      <c r="M14" s="25"/>
    </row>
    <row r="15" spans="1:14" s="26" customFormat="1" x14ac:dyDescent="0.35">
      <c r="A15" s="6" t="s">
        <v>35</v>
      </c>
      <c r="B15" s="7" t="s">
        <v>258</v>
      </c>
      <c r="C15" s="7" t="s">
        <v>177</v>
      </c>
      <c r="D15" s="7" t="s">
        <v>212</v>
      </c>
      <c r="E15" s="34" t="s">
        <v>144</v>
      </c>
      <c r="F15" s="7" t="s">
        <v>146</v>
      </c>
      <c r="G15" s="7" t="s">
        <v>147</v>
      </c>
      <c r="H15" s="7" t="s">
        <v>143</v>
      </c>
      <c r="I15" s="7"/>
      <c r="J15" s="7">
        <v>0.1</v>
      </c>
      <c r="K15" s="7" t="s">
        <v>148</v>
      </c>
      <c r="L15" s="7" t="s">
        <v>149</v>
      </c>
      <c r="M15" s="25"/>
    </row>
    <row r="16" spans="1:14" ht="14.5" customHeight="1" x14ac:dyDescent="0.35"/>
    <row r="17" spans="1:14" s="29" customFormat="1" ht="14.5" customHeight="1" x14ac:dyDescent="0.35">
      <c r="A17" s="16" t="s">
        <v>187</v>
      </c>
      <c r="B17" s="10" t="s">
        <v>281</v>
      </c>
      <c r="C17" s="10"/>
      <c r="D17" s="10" t="s">
        <v>179</v>
      </c>
      <c r="E17" s="10" t="s">
        <v>76</v>
      </c>
      <c r="F17" s="10" t="s">
        <v>178</v>
      </c>
      <c r="G17" s="45" t="s">
        <v>190</v>
      </c>
      <c r="H17" s="10" t="s">
        <v>191</v>
      </c>
      <c r="I17" s="10" t="s">
        <v>192</v>
      </c>
      <c r="J17" s="10">
        <v>0.4</v>
      </c>
      <c r="K17" s="10" t="s">
        <v>180</v>
      </c>
      <c r="L17" s="10" t="s">
        <v>189</v>
      </c>
      <c r="M17" s="28" t="s">
        <v>188</v>
      </c>
    </row>
    <row r="18" spans="1:14" ht="14.5" customHeight="1" x14ac:dyDescent="0.35"/>
    <row r="19" spans="1:14" s="20" customFormat="1" x14ac:dyDescent="0.35">
      <c r="A19" s="17" t="s">
        <v>308</v>
      </c>
      <c r="B19" s="11" t="s">
        <v>282</v>
      </c>
      <c r="C19" s="11"/>
      <c r="D19" s="11" t="s">
        <v>193</v>
      </c>
      <c r="E19" s="11" t="s">
        <v>76</v>
      </c>
      <c r="F19" s="11" t="s">
        <v>194</v>
      </c>
      <c r="G19" s="11" t="s">
        <v>194</v>
      </c>
      <c r="H19" s="11" t="s">
        <v>198</v>
      </c>
      <c r="I19" s="11" t="s">
        <v>198</v>
      </c>
      <c r="J19" s="11">
        <v>0.2</v>
      </c>
      <c r="K19" s="11" t="s">
        <v>196</v>
      </c>
      <c r="L19" s="11" t="s">
        <v>195</v>
      </c>
      <c r="M19" s="35" t="s">
        <v>197</v>
      </c>
    </row>
    <row r="20" spans="1:14" s="20" customFormat="1" x14ac:dyDescent="0.35">
      <c r="A20" s="17" t="s">
        <v>35</v>
      </c>
      <c r="B20" s="11" t="s">
        <v>259</v>
      </c>
      <c r="C20" s="46" t="s">
        <v>184</v>
      </c>
      <c r="D20" s="11" t="s">
        <v>211</v>
      </c>
      <c r="E20" s="36" t="s">
        <v>144</v>
      </c>
      <c r="F20" s="11" t="s">
        <v>146</v>
      </c>
      <c r="G20" s="11" t="s">
        <v>147</v>
      </c>
      <c r="H20" s="11" t="s">
        <v>143</v>
      </c>
      <c r="I20" s="11"/>
      <c r="J20" s="11">
        <v>0.1</v>
      </c>
      <c r="K20" s="11" t="s">
        <v>148</v>
      </c>
      <c r="L20" s="11" t="s">
        <v>149</v>
      </c>
      <c r="M20" s="35"/>
    </row>
    <row r="21" spans="1:14" s="20" customFormat="1" x14ac:dyDescent="0.35">
      <c r="A21" s="17" t="s">
        <v>35</v>
      </c>
      <c r="B21" s="11" t="s">
        <v>260</v>
      </c>
      <c r="C21" s="11" t="s">
        <v>177</v>
      </c>
      <c r="D21" s="11" t="s">
        <v>212</v>
      </c>
      <c r="E21" s="36" t="s">
        <v>144</v>
      </c>
      <c r="F21" s="11" t="s">
        <v>146</v>
      </c>
      <c r="G21" s="11" t="s">
        <v>147</v>
      </c>
      <c r="H21" s="11" t="s">
        <v>143</v>
      </c>
      <c r="I21" s="11"/>
      <c r="J21" s="11">
        <v>0.1</v>
      </c>
      <c r="K21" s="11" t="s">
        <v>148</v>
      </c>
      <c r="L21" s="11" t="s">
        <v>149</v>
      </c>
      <c r="M21" s="35"/>
    </row>
    <row r="23" spans="1:14" s="40" customFormat="1" x14ac:dyDescent="0.35">
      <c r="A23" s="37" t="s">
        <v>173</v>
      </c>
      <c r="B23" s="38" t="s">
        <v>283</v>
      </c>
      <c r="C23" s="38"/>
      <c r="D23" s="38" t="s">
        <v>179</v>
      </c>
      <c r="E23" s="38" t="s">
        <v>76</v>
      </c>
      <c r="F23" s="38" t="s">
        <v>178</v>
      </c>
      <c r="G23" s="38" t="s">
        <v>178</v>
      </c>
      <c r="H23" s="38" t="s">
        <v>183</v>
      </c>
      <c r="I23" s="38" t="s">
        <v>183</v>
      </c>
      <c r="J23" s="38">
        <v>0.2</v>
      </c>
      <c r="K23" s="38" t="s">
        <v>180</v>
      </c>
      <c r="L23" s="38" t="s">
        <v>181</v>
      </c>
      <c r="M23" s="39" t="s">
        <v>182</v>
      </c>
    </row>
    <row r="24" spans="1:14" s="40" customFormat="1" x14ac:dyDescent="0.35">
      <c r="A24" s="37" t="s">
        <v>35</v>
      </c>
      <c r="B24" s="38" t="s">
        <v>261</v>
      </c>
      <c r="C24" s="47" t="s">
        <v>184</v>
      </c>
      <c r="D24" s="38" t="s">
        <v>211</v>
      </c>
      <c r="E24" s="41" t="s">
        <v>144</v>
      </c>
      <c r="F24" s="38" t="s">
        <v>146</v>
      </c>
      <c r="G24" s="38" t="s">
        <v>147</v>
      </c>
      <c r="H24" s="38" t="s">
        <v>143</v>
      </c>
      <c r="I24" s="38"/>
      <c r="J24" s="38">
        <v>0.1</v>
      </c>
      <c r="K24" s="38" t="s">
        <v>148</v>
      </c>
      <c r="L24" s="38" t="s">
        <v>149</v>
      </c>
      <c r="M24" s="39"/>
    </row>
    <row r="25" spans="1:14" s="40" customFormat="1" x14ac:dyDescent="0.35">
      <c r="A25" s="37" t="s">
        <v>175</v>
      </c>
      <c r="B25" s="38" t="s">
        <v>248</v>
      </c>
      <c r="C25" s="38" t="s">
        <v>176</v>
      </c>
      <c r="D25" s="38" t="s">
        <v>136</v>
      </c>
      <c r="E25" s="38" t="s">
        <v>135</v>
      </c>
      <c r="F25" s="38" t="s">
        <v>137</v>
      </c>
      <c r="G25" s="38" t="s">
        <v>138</v>
      </c>
      <c r="H25" s="38" t="s">
        <v>134</v>
      </c>
      <c r="I25" s="38" t="s">
        <v>139</v>
      </c>
      <c r="J25" s="38"/>
      <c r="K25" s="38">
        <v>0.64</v>
      </c>
      <c r="L25" s="38" t="s">
        <v>140</v>
      </c>
      <c r="M25" s="39" t="s">
        <v>141</v>
      </c>
      <c r="N25" s="40" t="s">
        <v>42</v>
      </c>
    </row>
    <row r="27" spans="1:14" s="51" customFormat="1" x14ac:dyDescent="0.35">
      <c r="A27" s="48" t="s">
        <v>199</v>
      </c>
      <c r="B27" s="49" t="s">
        <v>284</v>
      </c>
      <c r="C27" s="49"/>
      <c r="D27" s="49" t="s">
        <v>179</v>
      </c>
      <c r="E27" s="49" t="s">
        <v>76</v>
      </c>
      <c r="F27" s="49" t="s">
        <v>178</v>
      </c>
      <c r="G27" s="49" t="s">
        <v>178</v>
      </c>
      <c r="H27" s="49" t="s">
        <v>183</v>
      </c>
      <c r="I27" s="49" t="s">
        <v>183</v>
      </c>
      <c r="J27" s="49">
        <v>0.2</v>
      </c>
      <c r="K27" s="49" t="s">
        <v>180</v>
      </c>
      <c r="L27" s="49" t="s">
        <v>181</v>
      </c>
      <c r="M27" s="50" t="s">
        <v>182</v>
      </c>
    </row>
    <row r="28" spans="1:14" s="51" customFormat="1" x14ac:dyDescent="0.35">
      <c r="A28" s="48" t="s">
        <v>35</v>
      </c>
      <c r="B28" s="49" t="s">
        <v>262</v>
      </c>
      <c r="C28" s="52" t="s">
        <v>184</v>
      </c>
      <c r="D28" s="49" t="s">
        <v>211</v>
      </c>
      <c r="E28" s="53" t="s">
        <v>144</v>
      </c>
      <c r="F28" s="49" t="s">
        <v>146</v>
      </c>
      <c r="G28" s="49" t="s">
        <v>147</v>
      </c>
      <c r="H28" s="49" t="s">
        <v>143</v>
      </c>
      <c r="I28" s="49"/>
      <c r="J28" s="49">
        <v>0.1</v>
      </c>
      <c r="K28" s="49" t="s">
        <v>148</v>
      </c>
      <c r="L28" s="49" t="s">
        <v>149</v>
      </c>
      <c r="M28" s="50"/>
    </row>
    <row r="29" spans="1:14" s="51" customFormat="1" x14ac:dyDescent="0.35">
      <c r="A29" s="48" t="s">
        <v>175</v>
      </c>
      <c r="B29" s="49" t="s">
        <v>249</v>
      </c>
      <c r="C29" s="49" t="s">
        <v>176</v>
      </c>
      <c r="D29" s="49" t="s">
        <v>136</v>
      </c>
      <c r="E29" s="49" t="s">
        <v>135</v>
      </c>
      <c r="F29" s="49" t="s">
        <v>137</v>
      </c>
      <c r="G29" s="49" t="s">
        <v>138</v>
      </c>
      <c r="H29" s="49" t="s">
        <v>134</v>
      </c>
      <c r="I29" s="49" t="s">
        <v>139</v>
      </c>
      <c r="J29" s="49"/>
      <c r="K29" s="49">
        <v>0.64</v>
      </c>
      <c r="L29" s="49" t="s">
        <v>140</v>
      </c>
      <c r="M29" s="50" t="s">
        <v>141</v>
      </c>
      <c r="N29" s="51" t="s">
        <v>42</v>
      </c>
    </row>
    <row r="32" spans="1:14" s="57" customFormat="1" x14ac:dyDescent="0.35">
      <c r="A32" s="54" t="s">
        <v>200</v>
      </c>
      <c r="B32" s="55" t="s">
        <v>285</v>
      </c>
      <c r="C32" s="55"/>
      <c r="D32" s="55" t="s">
        <v>213</v>
      </c>
      <c r="E32" s="55" t="s">
        <v>214</v>
      </c>
      <c r="F32" s="55" t="s">
        <v>215</v>
      </c>
      <c r="G32" s="55" t="s">
        <v>218</v>
      </c>
      <c r="H32" s="55" t="s">
        <v>219</v>
      </c>
      <c r="I32" s="55" t="s">
        <v>219</v>
      </c>
      <c r="J32" s="55">
        <v>0.03</v>
      </c>
      <c r="K32" s="55" t="s">
        <v>216</v>
      </c>
      <c r="L32" s="55" t="s">
        <v>217</v>
      </c>
      <c r="M32" s="56" t="s">
        <v>309</v>
      </c>
    </row>
    <row r="33" spans="1:13" s="57" customFormat="1" x14ac:dyDescent="0.35">
      <c r="A33" s="54" t="s">
        <v>201</v>
      </c>
      <c r="B33" s="55" t="s">
        <v>263</v>
      </c>
      <c r="C33" s="55" t="s">
        <v>202</v>
      </c>
      <c r="D33" s="55" t="s">
        <v>203</v>
      </c>
      <c r="E33" s="55" t="s">
        <v>204</v>
      </c>
      <c r="F33" s="55" t="s">
        <v>205</v>
      </c>
      <c r="G33" s="55" t="s">
        <v>209</v>
      </c>
      <c r="H33" s="55" t="s">
        <v>210</v>
      </c>
      <c r="I33" s="55" t="s">
        <v>210</v>
      </c>
      <c r="J33" s="55">
        <v>0.3</v>
      </c>
      <c r="K33" s="55" t="s">
        <v>206</v>
      </c>
      <c r="L33" s="55" t="s">
        <v>207</v>
      </c>
      <c r="M33" s="56" t="s">
        <v>208</v>
      </c>
    </row>
    <row r="37" spans="1:13" x14ac:dyDescent="0.35">
      <c r="A37" s="12" t="s">
        <v>244</v>
      </c>
      <c r="J37" s="9">
        <f>SUM(J3:J35)</f>
        <v>2.93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70" zoomScaleNormal="70" workbookViewId="0">
      <selection activeCell="A25" sqref="A25"/>
    </sheetView>
  </sheetViews>
  <sheetFormatPr defaultRowHeight="14.5" x14ac:dyDescent="0.35"/>
  <cols>
    <col min="1" max="1" width="23.08984375" style="12" customWidth="1"/>
    <col min="2" max="3" width="8.7265625" style="9"/>
    <col min="4" max="4" width="11.7265625" style="9" customWidth="1"/>
    <col min="5" max="5" width="14.36328125" style="9" customWidth="1"/>
    <col min="6" max="6" width="13.90625" style="9" customWidth="1"/>
    <col min="7" max="11" width="8.7265625" style="9"/>
    <col min="12" max="12" width="11.81640625" style="9" customWidth="1"/>
    <col min="13" max="13" width="8.7265625" style="19"/>
    <col min="14" max="16384" width="8.7265625" style="14"/>
  </cols>
  <sheetData>
    <row r="1" spans="1:13" s="13" customFormat="1" ht="35.5" customHeight="1" x14ac:dyDescent="0.35">
      <c r="A1" s="15" t="s">
        <v>0</v>
      </c>
      <c r="B1" s="8" t="s">
        <v>9</v>
      </c>
      <c r="C1" s="8" t="s">
        <v>10</v>
      </c>
      <c r="D1" s="8" t="s">
        <v>78</v>
      </c>
      <c r="E1" s="8" t="s">
        <v>1</v>
      </c>
      <c r="F1" s="8" t="s">
        <v>2</v>
      </c>
      <c r="G1" s="8" t="s">
        <v>83</v>
      </c>
      <c r="H1" s="8" t="s">
        <v>3</v>
      </c>
      <c r="I1" s="8" t="s">
        <v>84</v>
      </c>
      <c r="J1" s="8" t="s">
        <v>80</v>
      </c>
      <c r="K1" s="8" t="s">
        <v>4</v>
      </c>
      <c r="L1" s="8" t="s">
        <v>5</v>
      </c>
      <c r="M1" s="18" t="s">
        <v>6</v>
      </c>
    </row>
    <row r="3" spans="1:13" s="22" customFormat="1" x14ac:dyDescent="0.35">
      <c r="A3" s="1" t="s">
        <v>220</v>
      </c>
      <c r="B3" s="2" t="s">
        <v>286</v>
      </c>
      <c r="C3" s="2"/>
      <c r="D3" s="2" t="s">
        <v>223</v>
      </c>
      <c r="E3" s="2" t="s">
        <v>221</v>
      </c>
      <c r="F3" s="2" t="s">
        <v>222</v>
      </c>
      <c r="G3" s="2" t="s">
        <v>222</v>
      </c>
      <c r="H3" s="2" t="s">
        <v>226</v>
      </c>
      <c r="I3" s="2" t="s">
        <v>226</v>
      </c>
      <c r="J3" s="2">
        <v>0.31</v>
      </c>
      <c r="K3" s="2" t="s">
        <v>225</v>
      </c>
      <c r="L3" s="2" t="s">
        <v>224</v>
      </c>
      <c r="M3" s="21"/>
    </row>
    <row r="4" spans="1:13" s="22" customFormat="1" x14ac:dyDescent="0.35">
      <c r="A4" s="1" t="s">
        <v>35</v>
      </c>
      <c r="B4" s="2" t="s">
        <v>264</v>
      </c>
      <c r="C4" s="2" t="s">
        <v>49</v>
      </c>
      <c r="D4" s="2" t="s">
        <v>151</v>
      </c>
      <c r="E4" s="31" t="s">
        <v>144</v>
      </c>
      <c r="F4" s="2" t="s">
        <v>146</v>
      </c>
      <c r="G4" s="2" t="s">
        <v>147</v>
      </c>
      <c r="H4" s="2" t="s">
        <v>143</v>
      </c>
      <c r="I4" s="2"/>
      <c r="J4" s="2">
        <v>0.1</v>
      </c>
      <c r="K4" s="2" t="s">
        <v>148</v>
      </c>
      <c r="L4" s="2" t="s">
        <v>149</v>
      </c>
      <c r="M4" s="21" t="s">
        <v>235</v>
      </c>
    </row>
    <row r="5" spans="1:13" s="22" customFormat="1" x14ac:dyDescent="0.35">
      <c r="A5" s="1" t="s">
        <v>35</v>
      </c>
      <c r="B5" s="2" t="s">
        <v>265</v>
      </c>
      <c r="C5" s="31" t="s">
        <v>37</v>
      </c>
      <c r="D5" s="2" t="s">
        <v>150</v>
      </c>
      <c r="E5" s="31" t="s">
        <v>144</v>
      </c>
      <c r="F5" s="2" t="s">
        <v>146</v>
      </c>
      <c r="G5" s="2" t="s">
        <v>147</v>
      </c>
      <c r="H5" s="2" t="s">
        <v>143</v>
      </c>
      <c r="I5" s="2"/>
      <c r="J5" s="2">
        <v>0.1</v>
      </c>
      <c r="K5" s="2" t="s">
        <v>148</v>
      </c>
      <c r="L5" s="2" t="s">
        <v>149</v>
      </c>
      <c r="M5" s="21"/>
    </row>
    <row r="6" spans="1:13" s="22" customFormat="1" x14ac:dyDescent="0.35">
      <c r="A6" s="1" t="s">
        <v>25</v>
      </c>
      <c r="B6" s="2" t="s">
        <v>250</v>
      </c>
      <c r="C6" s="2" t="s">
        <v>136</v>
      </c>
      <c r="D6" s="2" t="s">
        <v>135</v>
      </c>
      <c r="E6" s="2" t="s">
        <v>137</v>
      </c>
      <c r="F6" s="2" t="s">
        <v>138</v>
      </c>
      <c r="G6" s="2" t="s">
        <v>134</v>
      </c>
      <c r="H6" s="2" t="s">
        <v>139</v>
      </c>
      <c r="I6" s="2"/>
      <c r="J6" s="2">
        <v>0.64</v>
      </c>
      <c r="K6" s="2" t="s">
        <v>140</v>
      </c>
      <c r="L6" s="2" t="s">
        <v>141</v>
      </c>
      <c r="M6" s="21" t="s">
        <v>42</v>
      </c>
    </row>
    <row r="9" spans="1:13" s="24" customFormat="1" x14ac:dyDescent="0.35">
      <c r="A9" s="3" t="s">
        <v>227</v>
      </c>
      <c r="B9" s="4" t="s">
        <v>287</v>
      </c>
      <c r="C9" s="4"/>
      <c r="D9" s="4" t="s">
        <v>228</v>
      </c>
      <c r="E9" s="4" t="s">
        <v>229</v>
      </c>
      <c r="F9" s="4" t="s">
        <v>230</v>
      </c>
      <c r="G9" s="4" t="s">
        <v>233</v>
      </c>
      <c r="H9" s="4" t="s">
        <v>234</v>
      </c>
      <c r="I9" s="4" t="s">
        <v>234</v>
      </c>
      <c r="J9" s="4">
        <v>0.48</v>
      </c>
      <c r="K9" s="4" t="s">
        <v>232</v>
      </c>
      <c r="L9" s="4" t="s">
        <v>231</v>
      </c>
      <c r="M9" s="23"/>
    </row>
    <row r="12" spans="1:13" s="26" customFormat="1" x14ac:dyDescent="0.35">
      <c r="A12" s="6" t="s">
        <v>243</v>
      </c>
      <c r="B12" s="7" t="s">
        <v>288</v>
      </c>
      <c r="C12" s="7"/>
      <c r="D12" s="7" t="s">
        <v>223</v>
      </c>
      <c r="E12" s="7" t="s">
        <v>221</v>
      </c>
      <c r="F12" s="7" t="s">
        <v>222</v>
      </c>
      <c r="G12" s="7" t="s">
        <v>222</v>
      </c>
      <c r="H12" s="7" t="s">
        <v>226</v>
      </c>
      <c r="I12" s="7" t="s">
        <v>226</v>
      </c>
      <c r="J12" s="7">
        <v>0.31</v>
      </c>
      <c r="K12" s="7" t="s">
        <v>225</v>
      </c>
      <c r="L12" s="7" t="s">
        <v>224</v>
      </c>
      <c r="M12" s="25"/>
    </row>
    <row r="13" spans="1:13" s="26" customFormat="1" x14ac:dyDescent="0.35">
      <c r="A13" s="6" t="s">
        <v>35</v>
      </c>
      <c r="B13" s="7" t="s">
        <v>266</v>
      </c>
      <c r="C13" s="7" t="s">
        <v>37</v>
      </c>
      <c r="D13" s="7" t="s">
        <v>150</v>
      </c>
      <c r="E13" s="34" t="s">
        <v>144</v>
      </c>
      <c r="F13" s="7" t="s">
        <v>146</v>
      </c>
      <c r="G13" s="7" t="s">
        <v>147</v>
      </c>
      <c r="H13" s="7" t="s">
        <v>143</v>
      </c>
      <c r="I13" s="7"/>
      <c r="J13" s="7">
        <v>0.1</v>
      </c>
      <c r="K13" s="7" t="s">
        <v>148</v>
      </c>
      <c r="L13" s="7" t="s">
        <v>149</v>
      </c>
      <c r="M13" s="25"/>
    </row>
    <row r="14" spans="1:13" x14ac:dyDescent="0.35">
      <c r="E14" s="8"/>
    </row>
    <row r="15" spans="1:13" x14ac:dyDescent="0.35">
      <c r="E15" s="8"/>
    </row>
    <row r="16" spans="1:13" s="29" customFormat="1" x14ac:dyDescent="0.35">
      <c r="A16" s="16" t="s">
        <v>242</v>
      </c>
      <c r="B16" s="10" t="s">
        <v>289</v>
      </c>
      <c r="C16" s="10"/>
      <c r="D16" s="10" t="s">
        <v>223</v>
      </c>
      <c r="E16" s="10" t="s">
        <v>221</v>
      </c>
      <c r="F16" s="10" t="s">
        <v>222</v>
      </c>
      <c r="G16" s="10" t="s">
        <v>222</v>
      </c>
      <c r="H16" s="10" t="s">
        <v>226</v>
      </c>
      <c r="I16" s="10" t="s">
        <v>226</v>
      </c>
      <c r="J16" s="10">
        <v>0.31</v>
      </c>
      <c r="K16" s="10" t="s">
        <v>225</v>
      </c>
      <c r="L16" s="10" t="s">
        <v>224</v>
      </c>
      <c r="M16" s="28"/>
    </row>
    <row r="17" spans="1:13" s="29" customFormat="1" x14ac:dyDescent="0.35">
      <c r="A17" s="16" t="s">
        <v>35</v>
      </c>
      <c r="B17" s="10" t="s">
        <v>267</v>
      </c>
      <c r="C17" s="10" t="s">
        <v>37</v>
      </c>
      <c r="D17" s="10" t="s">
        <v>150</v>
      </c>
      <c r="E17" s="27" t="s">
        <v>144</v>
      </c>
      <c r="F17" s="10" t="s">
        <v>146</v>
      </c>
      <c r="G17" s="10" t="s">
        <v>147</v>
      </c>
      <c r="H17" s="10" t="s">
        <v>143</v>
      </c>
      <c r="I17" s="10"/>
      <c r="J17" s="10">
        <v>0.1</v>
      </c>
      <c r="K17" s="10" t="s">
        <v>148</v>
      </c>
      <c r="L17" s="10" t="s">
        <v>149</v>
      </c>
      <c r="M17" s="28"/>
    </row>
    <row r="21" spans="1:13" x14ac:dyDescent="0.35">
      <c r="A21" s="12" t="s">
        <v>244</v>
      </c>
      <c r="J21" s="9">
        <f>SUM(J3:J17)</f>
        <v>2.4500000000000002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PWR MGT</vt:lpstr>
      <vt:lpstr>MCU</vt:lpstr>
      <vt:lpstr>ACTUATORS</vt:lpstr>
      <vt:lpstr>SENSORS</vt:lpstr>
      <vt:lpstr>USER 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2026-02-15T16:35:25Z</dcterms:modified>
</cp:coreProperties>
</file>