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50" tabRatio="477"/>
  </bookViews>
  <sheets>
    <sheet name="PCB" sheetId="3" r:id="rId1"/>
    <sheet name="External" sheetId="4" r:id="rId2"/>
    <sheet name="Vendors and others" sheetId="2" r:id="rId3"/>
    <sheet name="Component recommendations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" i="4" l="1"/>
  <c r="G38" i="3"/>
</calcChain>
</file>

<file path=xl/sharedStrings.xml><?xml version="1.0" encoding="utf-8"?>
<sst xmlns="http://schemas.openxmlformats.org/spreadsheetml/2006/main" count="228" uniqueCount="161">
  <si>
    <t>Component</t>
  </si>
  <si>
    <t>12V DC Diaphgram pump</t>
  </si>
  <si>
    <t>Notes</t>
  </si>
  <si>
    <t>For portability 12V is preferred 24V. Recommended specs 60-80 PSI, 3-5 litres/min</t>
  </si>
  <si>
    <t>QTY</t>
  </si>
  <si>
    <t>Sensors</t>
  </si>
  <si>
    <t>Turbidity</t>
  </si>
  <si>
    <t>Pressure</t>
  </si>
  <si>
    <t>Flow</t>
  </si>
  <si>
    <t>Color</t>
  </si>
  <si>
    <t>&lt;10 NTU system runs normally, 10 - 15 NTU send warnings, &gt; 15 NTU stop system</t>
  </si>
  <si>
    <t>&lt; 5.1 PtCo system OK, 5.1 - 15 PtCo send warning, &gt; 15 PtCo critical hence system sto</t>
  </si>
  <si>
    <t>25 micron Sediment filter</t>
  </si>
  <si>
    <t>Recommendation: String wound for robustness</t>
  </si>
  <si>
    <t>5 micron CTO carbon block</t>
  </si>
  <si>
    <t>Do not use Granular Activated Carbon as it can allow water to create channels to bypass the carbon. (it rattles when you shake it)</t>
  </si>
  <si>
    <t>1 micron Spun Polypropylene post filter</t>
  </si>
  <si>
    <t xml:space="preserve">10 micron Polypropylene Sediment filter* </t>
  </si>
  <si>
    <t>Recommendation: Spun Polypropylene. To protect the carbon filter, a 5 micron is recommended</t>
  </si>
  <si>
    <t>Recommendation: Spun Polypropylene.</t>
  </si>
  <si>
    <t>Filter housings</t>
  </si>
  <si>
    <t>10-inch filter housings, solid blue</t>
  </si>
  <si>
    <t>0.01 micron Hollow fiber UF membrane</t>
  </si>
  <si>
    <t>Recommendation: Flat top catridge so that it fits in the normal housings</t>
  </si>
  <si>
    <t>Additional</t>
  </si>
  <si>
    <t>Vendors</t>
  </si>
  <si>
    <t>LCSC</t>
  </si>
  <si>
    <t>JLCPCB</t>
  </si>
  <si>
    <t>EasyEDA</t>
  </si>
  <si>
    <t>DigiKey</t>
  </si>
  <si>
    <t>Mouser</t>
  </si>
  <si>
    <t>Components Data, footprints and 3D models</t>
  </si>
  <si>
    <t>SnapEDA</t>
  </si>
  <si>
    <t>Description</t>
  </si>
  <si>
    <t>This is the physical device installed on the water pipe</t>
  </si>
  <si>
    <t>DigiKey [https://www.digikey.com/en/products/detail/adafruit-industries-llc/997/6827136?s=N4IgTCBcDaIIwHowB0QAIAKAbAhgZwBcBLAYzQHUcCBTAJzQGUB7LagOyaIBM0A1HLADdqIALoBfIA]</t>
  </si>
  <si>
    <t>Solenoid Valve, V1</t>
  </si>
  <si>
    <t>Manufacturer Part Number</t>
  </si>
  <si>
    <t>Find at      (Supplier + URL)</t>
  </si>
  <si>
    <t>Manufacturer</t>
  </si>
  <si>
    <t>Package / Footprint</t>
  </si>
  <si>
    <t>Adafruit Industries LLC</t>
  </si>
  <si>
    <t>Suppiler Part Number</t>
  </si>
  <si>
    <t>1528-2003-ND</t>
  </si>
  <si>
    <t>This is used to switch the 12V power for the valve using the 5V logic signal</t>
  </si>
  <si>
    <t>Price (USD)</t>
  </si>
  <si>
    <t>Songle Relay</t>
  </si>
  <si>
    <t>SRD-05VDC-SL-C</t>
  </si>
  <si>
    <t>C35449</t>
  </si>
  <si>
    <t>LCSC [https://www.lcsc.com/product-detail/C35449.html?s_z=n_songle%2520relay%2520%2520C37482]</t>
  </si>
  <si>
    <t>Relay (PCB Switch)</t>
  </si>
  <si>
    <t>This is the specific component that fits the standard "Blue sugar cube" footprint, through hole</t>
  </si>
  <si>
    <t>RELAY-TH_SRD-05VDC or Relay_SPDT_Songle_SRD</t>
  </si>
  <si>
    <t>Terminal Block (Valve connection)</t>
  </si>
  <si>
    <t>This is the connector where the wires from the 12V Valve will screw into the PCB.</t>
  </si>
  <si>
    <t>Cixi Kefa Elec</t>
  </si>
  <si>
    <t>KF301-5.0-2P</t>
  </si>
  <si>
    <t>C474881</t>
  </si>
  <si>
    <t>LCSC [https://www.lcsc.com/product-detail/C474881.html?s_z=n_KF301-2P%2520%28C2336%29]</t>
  </si>
  <si>
    <t>Turbidity sensor, S1</t>
  </si>
  <si>
    <t>DFRobot</t>
  </si>
  <si>
    <t>SEN0189</t>
  </si>
  <si>
    <t>GRAVITY: ANALOG TURBIDITY SENSOR</t>
  </si>
  <si>
    <t>DigiKey [https://www.digikey.com/en/products/detail/dfrobot/SEN0189/6588606?s=N4IgTCBcDaIMoFEByAGAjADgJwgLoF8g]</t>
  </si>
  <si>
    <t>1738-1185-ND</t>
  </si>
  <si>
    <t>CONN-TH_3P-P2.54_XH</t>
  </si>
  <si>
    <t>Turbidity sensor (PCB connector)</t>
  </si>
  <si>
    <t> 3-pin header to connect the wire coming from the sensor</t>
  </si>
  <si>
    <t>hanxia</t>
  </si>
  <si>
    <t>HX-XH2.54-3PZZ</t>
  </si>
  <si>
    <t>LCSC [https://www.lcsc.com/product-detail/C42391661.html?s_z=n_pin%2520header]</t>
  </si>
  <si>
    <t>C42391661</t>
  </si>
  <si>
    <t>12 V DC Diaphragm pump, P1</t>
  </si>
  <si>
    <t>This pump draws water from the source and pushes it through the Sediment/Carbon filters.</t>
  </si>
  <si>
    <t>SFDP1-011-070-21</t>
  </si>
  <si>
    <t>Seaflo</t>
  </si>
  <si>
    <t>Amazon [https://www.amazon.com/SEAFLO-Diaphragm-Water-Pressure-Pump/dp/B0DVTJ1FKP]</t>
  </si>
  <si>
    <t>CONN-TH_2P-P5.00</t>
  </si>
  <si>
    <t>This is used to switch the 12V power for the pump, P1 using the 5V logic signal</t>
  </si>
  <si>
    <t>Pressure sensor, S2</t>
  </si>
  <si>
    <t>SEN0257</t>
  </si>
  <si>
    <t>1738-1377-ND</t>
  </si>
  <si>
    <t>Pressure Sensor 232.06PSI (1600kPa) Gauge 0.5 V ~ 4.5 V Cylinder, Metal</t>
  </si>
  <si>
    <t>DigiKey [https://www.digikey.com/en/products/detail/dfrobot/SEN0257/8341836?s=N4IgTCBcDaIOYCcCGA3AlgFwJ4AIDuSGApgjgA4JEDOVArpTlUQHZUD2CIAugL5A]</t>
  </si>
  <si>
    <t>Pressure sensor (PCB connector)</t>
  </si>
  <si>
    <t>Water Flow sensor, S3</t>
  </si>
  <si>
    <t>Liquid Flow Sensor 1 ~ 30 LPM 0.787" (20mm) Plastic</t>
  </si>
  <si>
    <t>SEN0217</t>
  </si>
  <si>
    <t>DigiKey [https://www.digikey.com/en/products/detail/dfrobot/SEN0217/6579446?s=N4IgTCBcDaIM4FMB2AGMBGA7CAugXyA]</t>
  </si>
  <si>
    <t>SEN0217-ND</t>
  </si>
  <si>
    <t>Color sensor, S4</t>
  </si>
  <si>
    <t>TCS34725 Color Sensor Gravity Platform Evaluation Expansion Board</t>
  </si>
  <si>
    <t>SEN0212</t>
  </si>
  <si>
    <t>DigiKey [https://www.digikey.com/en/products/detail/dfrobot/SEN0212/7087188?s=N4IgTCBcDaIMoFEByAGMBGCBdAvkA]</t>
  </si>
  <si>
    <t>1738-1291-ND</t>
  </si>
  <si>
    <t>Color sensor (PCB connector)</t>
  </si>
  <si>
    <t>Pin Header 4 Position 2.54mm Pitch Single Row Through Hole -40℃~+105℃</t>
  </si>
  <si>
    <t>Ckmtw</t>
  </si>
  <si>
    <t>B-2100S04P-A110</t>
  </si>
  <si>
    <t>LCSC [https://www.lcsc.com/product-detail/C124378.html]</t>
  </si>
  <si>
    <t>C124378</t>
  </si>
  <si>
    <t>HDR-M-2.54_1x4</t>
  </si>
  <si>
    <t>12 Watt Stainless Steel UV Sterilizer with 12V ballast [DC not AC]</t>
  </si>
  <si>
    <t>https://purewater4life.co.za/12-watt-stainless-steel-uv-sterilizer-with-12v-ballast/</t>
  </si>
  <si>
    <t>* SSE-012 EB-G16-12V UV Sterilizer</t>
  </si>
  <si>
    <t>*UV Lamp</t>
  </si>
  <si>
    <t>* UV Lamp</t>
  </si>
  <si>
    <t>ALT</t>
  </si>
  <si>
    <t>12VDC 1gpm 12W Fostream UV Water Steriliser UVC Lamp Ultraviolet Sterilizer</t>
  </si>
  <si>
    <t>SSE-012</t>
  </si>
  <si>
    <t>Agua Topone</t>
  </si>
  <si>
    <t>https://aguatopone686.en.made-in-china.com/product/cxbRZNGdnAWl/China-12VDC-1gpm-12W-Fostream-UV-Water-Steriliser-UVC-Lamp-Ultraviolet-Sterilizer.html</t>
  </si>
  <si>
    <t>This is used to switch the DC UV lamp using the 5V logic signal</t>
  </si>
  <si>
    <t>Terminal Block (Pump connection)</t>
  </si>
  <si>
    <t>Terminal Block (UV lamp connection)</t>
  </si>
  <si>
    <t>Water Level sensor, S5</t>
  </si>
  <si>
    <t>WEATHER-PROOF ULTRASONIC SENSOR</t>
  </si>
  <si>
    <t>SEN0208</t>
  </si>
  <si>
    <t>DigiKey [https://www.digikey.com/en/products/detail/dfrobot/SEN0208/6588472]</t>
  </si>
  <si>
    <t>1738-1050-ND</t>
  </si>
  <si>
    <t>Water Level sensor (PCB connector)</t>
  </si>
  <si>
    <t>Connector Header 4 position 2.5mm Pitch 3A Right Angle -25℃~+85℃</t>
  </si>
  <si>
    <t>Bossie</t>
  </si>
  <si>
    <t>BX-XH2.54-4PWZ</t>
  </si>
  <si>
    <t>LCSC [https://www.lcsc.com/product-detail/C18077844.html?s_z=n_XH2.54-4P%2520White%2520Box%2520Header]</t>
  </si>
  <si>
    <t>C18077844</t>
  </si>
  <si>
    <t>TDS sensor, S6</t>
  </si>
  <si>
    <t>GRAVITY ANALOG TDS SENSOR/METER</t>
  </si>
  <si>
    <t>SEN0244</t>
  </si>
  <si>
    <t>DigiKey [https://www.digikey.com/en/products/detail/dfrobot/SEN0244/8019062?s=N4IgTCBcDaIMoFEByAGMAWdIC6BfIA]</t>
  </si>
  <si>
    <t>1738-1368-ND</t>
  </si>
  <si>
    <t>TDS sensor (PCB connector)</t>
  </si>
  <si>
    <t>Connector Header 3 position 2.54mm Pitch 3A Through Hole -25℃~+85℃</t>
  </si>
  <si>
    <t>LCSC [https://www.lcsc.com/product-detail/C42391661.html]</t>
  </si>
  <si>
    <t>PH sensor, S7</t>
  </si>
  <si>
    <t>GRAVITY: ANALOG PH SENSOR/METER</t>
  </si>
  <si>
    <t>SEN0161-V2</t>
  </si>
  <si>
    <t>DigiKey [https://www.digikey.com/en/products/detail/dfrobot/SEN0161-V2/9608223?s=N4IgTCBcDaIMoFEByAGAjANjQWgGoQF0BfIA]</t>
  </si>
  <si>
    <t>SEN0161-V2-ND</t>
  </si>
  <si>
    <t>Relay, Re1</t>
  </si>
  <si>
    <t>Relay, Re2</t>
  </si>
  <si>
    <t>Relay, Re3</t>
  </si>
  <si>
    <t>Microcontroller</t>
  </si>
  <si>
    <t>Espressif Systems</t>
  </si>
  <si>
    <t>ESP32-WROOM-32E</t>
  </si>
  <si>
    <t>Voltage regulator</t>
  </si>
  <si>
    <t>UMW</t>
  </si>
  <si>
    <t>AMS1117-3.3</t>
  </si>
  <si>
    <t>DigiKey [https://www.digikey.com/en/products/detail/umw/AMS1117-3-3/17635254]</t>
  </si>
  <si>
    <t>4518-AMS1117-3.3TR-ND</t>
  </si>
  <si>
    <t>SOT-223</t>
  </si>
  <si>
    <t>Bluetooth, WiFi 802.11b/g/n, Bluetooth v4.2 +EDR, Class 1, 2 and 3 Transceiver Module 2.4GHz ~ 2.5GHz Integrated, Trace Surface Mount</t>
  </si>
  <si>
    <t>ESP32-WROOM-32E-N4</t>
  </si>
  <si>
    <t>DigiKey [https://www.digikey.com/en/products/detail/espressif-systems/ESP32-WROOM-32E-N4/11613148]</t>
  </si>
  <si>
    <t>1965-ESP32-WROOM-32E-N4TR-ND</t>
  </si>
  <si>
    <t>Linear Voltage Regulator IC Positive Fixed 1 Output 1A SOT-223-3L [Drops the power for the ESP32 3.3 V]</t>
  </si>
  <si>
    <t>Buck converter</t>
  </si>
  <si>
    <t>DigiKey [https://www.digikey.com/en/products/detail/umw/LM2596S-5-0/16705901]</t>
  </si>
  <si>
    <t>Buck Switching Regulator IC Positive Fixed 5V 1 Output 3A TO-263-6, D2PAK (5 Leads + Tab), TO-263BA</t>
  </si>
  <si>
    <t>LM2596S-5.0</t>
  </si>
  <si>
    <t>4518-LM2596S-5.0TR-ND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</si>
</sst>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2" xfId="0" applyFont="1" applyFill="1" applyBorder="1" applyAlignment="1">
      <alignment vertical="top" wrapText="1"/>
    </xf>
    <xf numFmtId="0" fontId="1" fillId="5" borderId="1" xfId="0" applyFont="1" applyFill="1" applyBorder="1"/>
    <xf numFmtId="0" fontId="1" fillId="5" borderId="2" xfId="0" applyFont="1" applyFill="1" applyBorder="1"/>
    <xf numFmtId="0" fontId="1" fillId="6" borderId="1" xfId="0" applyFont="1" applyFill="1" applyBorder="1"/>
    <xf numFmtId="0" fontId="1" fillId="6" borderId="2" xfId="0" applyFont="1" applyFill="1" applyBorder="1"/>
    <xf numFmtId="0" fontId="1" fillId="0" borderId="1" xfId="0" applyFont="1" applyBorder="1"/>
    <xf numFmtId="0" fontId="1" fillId="0" borderId="2" xfId="0" applyFont="1" applyBorder="1"/>
    <xf numFmtId="0" fontId="1" fillId="0" borderId="0" xfId="0" applyFont="1" applyAlignment="1">
      <alignment vertical="top" wrapText="1"/>
    </xf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2" fillId="2" borderId="0" xfId="0" applyFont="1" applyFill="1"/>
    <xf numFmtId="0" fontId="1" fillId="7" borderId="2" xfId="0" applyFont="1" applyFill="1" applyBorder="1" applyAlignment="1">
      <alignment vertical="top" wrapText="1"/>
    </xf>
    <xf numFmtId="0" fontId="1" fillId="7" borderId="1" xfId="0" applyFont="1" applyFill="1" applyBorder="1"/>
    <xf numFmtId="0" fontId="1" fillId="7" borderId="2" xfId="0" applyFont="1" applyFill="1" applyBorder="1"/>
    <xf numFmtId="0" fontId="1" fillId="7" borderId="0" xfId="0" applyFont="1" applyFill="1"/>
    <xf numFmtId="0" fontId="3" fillId="7" borderId="0" xfId="1" applyFill="1"/>
    <xf numFmtId="0" fontId="1" fillId="8" borderId="1" xfId="0" applyFont="1" applyFill="1" applyBorder="1"/>
    <xf numFmtId="0" fontId="1" fillId="8" borderId="2" xfId="0" applyFont="1" applyFill="1" applyBorder="1"/>
    <xf numFmtId="0" fontId="1" fillId="8" borderId="0" xfId="0" applyFont="1" applyFill="1"/>
    <xf numFmtId="0" fontId="1" fillId="9" borderId="1" xfId="0" applyFont="1" applyFill="1" applyBorder="1"/>
    <xf numFmtId="0" fontId="1" fillId="9" borderId="2" xfId="0" applyFont="1" applyFill="1" applyBorder="1"/>
    <xf numFmtId="0" fontId="1" fillId="9" borderId="0" xfId="0" applyFont="1" applyFill="1"/>
    <xf numFmtId="0" fontId="1" fillId="10" borderId="1" xfId="0" applyFont="1" applyFill="1" applyBorder="1"/>
    <xf numFmtId="0" fontId="1" fillId="10" borderId="2" xfId="0" applyFont="1" applyFill="1" applyBorder="1"/>
    <xf numFmtId="0" fontId="1" fillId="10" borderId="0" xfId="0" applyFont="1" applyFill="1"/>
    <xf numFmtId="0" fontId="2" fillId="0" borderId="2" xfId="0" applyFon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7" borderId="1" xfId="0" applyFont="1" applyFill="1" applyBorder="1" applyAlignment="1">
      <alignment vertical="top" wrapText="1"/>
    </xf>
    <xf numFmtId="0" fontId="1" fillId="7" borderId="2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rewater4life.co.za/12-watt-stainless-steel-uv-sterilizer-with-12v-ballast/" TargetMode="External"/><Relationship Id="rId1" Type="http://schemas.openxmlformats.org/officeDocument/2006/relationships/hyperlink" Target="https://aguatopone686.en.made-in-china.com/product/cxbRZNGdnAWl/China-12VDC-1gpm-12W-Fostream-UV-Water-Steriliser-UVC-Lamp-Ultraviolet-Sterilizer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38"/>
  <sheetViews>
    <sheetView tabSelected="1" zoomScale="70" zoomScaleNormal="70" workbookViewId="0">
      <pane ySplit="1" topLeftCell="A2" activePane="bottomLeft" state="frozen"/>
      <selection pane="bottomLeft" activeCell="E2" sqref="E2"/>
    </sheetView>
  </sheetViews>
  <sheetFormatPr defaultRowHeight="15.5" x14ac:dyDescent="0.35"/>
  <cols>
    <col min="1" max="1" width="20.1796875" style="16" customWidth="1"/>
    <col min="2" max="2" width="5.7265625" style="17" customWidth="1"/>
    <col min="3" max="4" width="16.453125" style="17" customWidth="1"/>
    <col min="5" max="5" width="18.36328125" style="17" customWidth="1"/>
    <col min="6" max="6" width="12.90625" style="17" customWidth="1"/>
    <col min="7" max="7" width="9.26953125" style="17" customWidth="1"/>
    <col min="8" max="8" width="10.1796875" style="17" customWidth="1"/>
    <col min="9" max="9" width="12.7265625" style="17" customWidth="1"/>
    <col min="10" max="16384" width="8.7265625" style="17"/>
  </cols>
  <sheetData>
    <row r="1" spans="1:9" s="3" customFormat="1" ht="36.5" customHeight="1" x14ac:dyDescent="0.35">
      <c r="A1" s="2" t="s">
        <v>0</v>
      </c>
      <c r="B1" s="3" t="s">
        <v>4</v>
      </c>
      <c r="C1" s="3" t="s">
        <v>33</v>
      </c>
      <c r="D1" s="3" t="s">
        <v>39</v>
      </c>
      <c r="E1" s="3" t="s">
        <v>37</v>
      </c>
      <c r="F1" s="3" t="s">
        <v>40</v>
      </c>
      <c r="G1" s="3" t="s">
        <v>45</v>
      </c>
      <c r="H1" s="3" t="s">
        <v>38</v>
      </c>
      <c r="I1" s="3" t="s">
        <v>42</v>
      </c>
    </row>
    <row r="2" spans="1:9" s="3" customFormat="1" ht="15.5" customHeight="1" x14ac:dyDescent="0.35">
      <c r="A2" s="2" t="s">
        <v>156</v>
      </c>
      <c r="B2" s="3">
        <v>1</v>
      </c>
      <c r="C2" s="3" t="s">
        <v>158</v>
      </c>
      <c r="D2" s="3" t="s">
        <v>146</v>
      </c>
      <c r="E2" s="3" t="s">
        <v>159</v>
      </c>
      <c r="G2" s="3">
        <v>3.32</v>
      </c>
      <c r="H2" s="3" t="s">
        <v>157</v>
      </c>
      <c r="I2" s="3" t="s">
        <v>160</v>
      </c>
    </row>
    <row r="3" spans="1:9" s="3" customFormat="1" ht="15.5" customHeight="1" x14ac:dyDescent="0.35">
      <c r="A3" s="2" t="s">
        <v>142</v>
      </c>
      <c r="B3" s="3">
        <v>1</v>
      </c>
      <c r="C3" s="3" t="s">
        <v>151</v>
      </c>
      <c r="D3" s="3" t="s">
        <v>143</v>
      </c>
      <c r="E3" s="3" t="s">
        <v>152</v>
      </c>
      <c r="F3" s="3" t="s">
        <v>144</v>
      </c>
      <c r="G3" s="3">
        <v>4.84</v>
      </c>
      <c r="H3" s="39" t="s">
        <v>153</v>
      </c>
      <c r="I3" s="3" t="s">
        <v>154</v>
      </c>
    </row>
    <row r="4" spans="1:9" s="3" customFormat="1" ht="15.5" customHeight="1" x14ac:dyDescent="0.35">
      <c r="A4" s="2" t="s">
        <v>145</v>
      </c>
      <c r="B4" s="3">
        <v>1</v>
      </c>
      <c r="C4" s="3" t="s">
        <v>155</v>
      </c>
      <c r="D4" s="3" t="s">
        <v>146</v>
      </c>
      <c r="E4" s="3" t="s">
        <v>147</v>
      </c>
      <c r="F4" s="3" t="s">
        <v>150</v>
      </c>
      <c r="G4" s="3">
        <v>0.28999999999999998</v>
      </c>
      <c r="H4" s="3" t="s">
        <v>148</v>
      </c>
      <c r="I4" s="3" t="s">
        <v>149</v>
      </c>
    </row>
    <row r="5" spans="1:9" s="3" customFormat="1" ht="15.5" customHeight="1" x14ac:dyDescent="0.35">
      <c r="A5" s="2"/>
    </row>
    <row r="6" spans="1:9" s="3" customFormat="1" ht="14.5" customHeight="1" x14ac:dyDescent="0.35">
      <c r="A6" s="2"/>
    </row>
    <row r="7" spans="1:9" s="4" customFormat="1" x14ac:dyDescent="0.35">
      <c r="A7" s="40" t="s">
        <v>139</v>
      </c>
      <c r="B7" s="41"/>
      <c r="C7" s="41" t="s">
        <v>44</v>
      </c>
      <c r="D7" s="41"/>
      <c r="E7" s="41"/>
      <c r="F7" s="41"/>
      <c r="G7" s="41"/>
      <c r="H7" s="41"/>
    </row>
    <row r="8" spans="1:9" s="6" customFormat="1" x14ac:dyDescent="0.35">
      <c r="A8" s="5" t="s">
        <v>50</v>
      </c>
      <c r="B8" s="6">
        <v>1</v>
      </c>
      <c r="C8" s="6" t="s">
        <v>51</v>
      </c>
      <c r="D8" s="6" t="s">
        <v>46</v>
      </c>
      <c r="E8" s="6" t="s">
        <v>47</v>
      </c>
      <c r="F8" s="6" t="s">
        <v>52</v>
      </c>
      <c r="G8" s="6">
        <v>1.48</v>
      </c>
      <c r="H8" s="6" t="s">
        <v>49</v>
      </c>
      <c r="I8" s="6" t="s">
        <v>48</v>
      </c>
    </row>
    <row r="9" spans="1:9" s="6" customFormat="1" x14ac:dyDescent="0.35">
      <c r="A9" s="5" t="s">
        <v>53</v>
      </c>
      <c r="B9" s="6">
        <v>1</v>
      </c>
      <c r="C9" s="6" t="s">
        <v>54</v>
      </c>
      <c r="D9" s="6" t="s">
        <v>55</v>
      </c>
      <c r="E9" s="6" t="s">
        <v>56</v>
      </c>
      <c r="F9" s="6" t="s">
        <v>77</v>
      </c>
      <c r="G9" s="6">
        <v>0.44</v>
      </c>
      <c r="H9" s="6" t="s">
        <v>58</v>
      </c>
      <c r="I9" s="6" t="s">
        <v>57</v>
      </c>
    </row>
    <row r="10" spans="1:9" s="6" customFormat="1" x14ac:dyDescent="0.35">
      <c r="A10" s="5"/>
    </row>
    <row r="12" spans="1:9" s="8" customFormat="1" x14ac:dyDescent="0.35">
      <c r="A12" s="7" t="s">
        <v>66</v>
      </c>
      <c r="B12" s="8">
        <v>1</v>
      </c>
      <c r="C12" s="8" t="s">
        <v>67</v>
      </c>
      <c r="D12" s="8" t="s">
        <v>68</v>
      </c>
      <c r="E12" s="8" t="s">
        <v>69</v>
      </c>
      <c r="F12" s="8" t="s">
        <v>65</v>
      </c>
      <c r="G12" s="8">
        <v>0.05</v>
      </c>
      <c r="H12" s="8" t="s">
        <v>70</v>
      </c>
      <c r="I12" s="8" t="s">
        <v>71</v>
      </c>
    </row>
    <row r="13" spans="1:9" s="1" customFormat="1" x14ac:dyDescent="0.35"/>
    <row r="14" spans="1:9" s="10" customFormat="1" x14ac:dyDescent="0.35">
      <c r="A14" s="9"/>
    </row>
    <row r="15" spans="1:9" s="11" customFormat="1" x14ac:dyDescent="0.35">
      <c r="A15" s="42" t="s">
        <v>140</v>
      </c>
      <c r="B15" s="43"/>
      <c r="C15" s="43" t="s">
        <v>78</v>
      </c>
      <c r="D15" s="43"/>
      <c r="E15" s="43"/>
      <c r="F15" s="43"/>
      <c r="G15" s="43"/>
      <c r="H15" s="43"/>
    </row>
    <row r="16" spans="1:9" s="10" customFormat="1" x14ac:dyDescent="0.35">
      <c r="A16" s="9" t="s">
        <v>50</v>
      </c>
      <c r="B16" s="10">
        <v>1</v>
      </c>
      <c r="C16" s="10" t="s">
        <v>51</v>
      </c>
      <c r="D16" s="10" t="s">
        <v>46</v>
      </c>
      <c r="E16" s="10" t="s">
        <v>47</v>
      </c>
      <c r="F16" s="10" t="s">
        <v>52</v>
      </c>
      <c r="G16" s="10">
        <v>1.48</v>
      </c>
      <c r="H16" s="10" t="s">
        <v>49</v>
      </c>
      <c r="I16" s="10" t="s">
        <v>48</v>
      </c>
    </row>
    <row r="17" spans="1:9" s="10" customFormat="1" x14ac:dyDescent="0.35">
      <c r="A17" s="9" t="s">
        <v>113</v>
      </c>
      <c r="B17" s="10">
        <v>1</v>
      </c>
      <c r="C17" s="10" t="s">
        <v>54</v>
      </c>
      <c r="D17" s="10" t="s">
        <v>55</v>
      </c>
      <c r="E17" s="10" t="s">
        <v>56</v>
      </c>
      <c r="F17" s="10" t="s">
        <v>77</v>
      </c>
      <c r="G17" s="10">
        <v>0.44</v>
      </c>
      <c r="H17" s="10" t="s">
        <v>58</v>
      </c>
      <c r="I17" s="10" t="s">
        <v>57</v>
      </c>
    </row>
    <row r="18" spans="1:9" s="10" customFormat="1" x14ac:dyDescent="0.35">
      <c r="A18" s="9"/>
    </row>
    <row r="20" spans="1:9" s="13" customFormat="1" x14ac:dyDescent="0.35">
      <c r="A20" s="12" t="s">
        <v>84</v>
      </c>
      <c r="B20" s="13">
        <v>1</v>
      </c>
      <c r="C20" s="13" t="s">
        <v>67</v>
      </c>
      <c r="D20" s="13" t="s">
        <v>68</v>
      </c>
      <c r="E20" s="13" t="s">
        <v>69</v>
      </c>
      <c r="F20" s="13" t="s">
        <v>65</v>
      </c>
      <c r="G20" s="13">
        <v>0.05</v>
      </c>
      <c r="H20" s="13" t="s">
        <v>70</v>
      </c>
      <c r="I20" s="13" t="s">
        <v>71</v>
      </c>
    </row>
    <row r="22" spans="1:9" s="15" customFormat="1" x14ac:dyDescent="0.35">
      <c r="A22" s="14" t="s">
        <v>84</v>
      </c>
      <c r="B22" s="15">
        <v>1</v>
      </c>
      <c r="C22" s="15" t="s">
        <v>67</v>
      </c>
      <c r="D22" s="15" t="s">
        <v>68</v>
      </c>
      <c r="E22" s="15" t="s">
        <v>69</v>
      </c>
      <c r="F22" s="15" t="s">
        <v>65</v>
      </c>
      <c r="G22" s="15">
        <v>0.05</v>
      </c>
      <c r="H22" s="15" t="s">
        <v>70</v>
      </c>
      <c r="I22" s="15" t="s">
        <v>71</v>
      </c>
    </row>
    <row r="24" spans="1:9" s="6" customFormat="1" x14ac:dyDescent="0.35">
      <c r="A24" s="5" t="s">
        <v>95</v>
      </c>
      <c r="B24" s="6">
        <v>1</v>
      </c>
      <c r="C24" s="6" t="s">
        <v>96</v>
      </c>
      <c r="D24" s="6" t="s">
        <v>97</v>
      </c>
      <c r="E24" s="6" t="s">
        <v>98</v>
      </c>
      <c r="F24" s="24" t="s">
        <v>101</v>
      </c>
      <c r="G24" s="6">
        <v>0.48</v>
      </c>
      <c r="H24" s="6" t="s">
        <v>99</v>
      </c>
      <c r="I24" s="6" t="s">
        <v>100</v>
      </c>
    </row>
    <row r="26" spans="1:9" s="25" customFormat="1" x14ac:dyDescent="0.35">
      <c r="A26" s="44" t="s">
        <v>141</v>
      </c>
      <c r="B26" s="45"/>
      <c r="C26" s="45" t="s">
        <v>112</v>
      </c>
      <c r="D26" s="45"/>
      <c r="E26" s="45"/>
      <c r="F26" s="45"/>
      <c r="G26" s="45"/>
      <c r="H26" s="45"/>
    </row>
    <row r="27" spans="1:9" s="27" customFormat="1" x14ac:dyDescent="0.35">
      <c r="A27" s="26" t="s">
        <v>50</v>
      </c>
      <c r="B27" s="27">
        <v>1</v>
      </c>
      <c r="C27" s="27" t="s">
        <v>51</v>
      </c>
      <c r="D27" s="27" t="s">
        <v>46</v>
      </c>
      <c r="E27" s="27" t="s">
        <v>47</v>
      </c>
      <c r="F27" s="27" t="s">
        <v>52</v>
      </c>
      <c r="G27" s="27">
        <v>1.48</v>
      </c>
      <c r="H27" s="27" t="s">
        <v>49</v>
      </c>
      <c r="I27" s="27" t="s">
        <v>48</v>
      </c>
    </row>
    <row r="28" spans="1:9" s="27" customFormat="1" x14ac:dyDescent="0.35">
      <c r="A28" s="26" t="s">
        <v>114</v>
      </c>
      <c r="B28" s="27">
        <v>1</v>
      </c>
      <c r="C28" s="27" t="s">
        <v>54</v>
      </c>
      <c r="D28" s="27" t="s">
        <v>55</v>
      </c>
      <c r="E28" s="27" t="s">
        <v>56</v>
      </c>
      <c r="F28" s="27" t="s">
        <v>77</v>
      </c>
      <c r="G28" s="27">
        <v>0.44</v>
      </c>
      <c r="H28" s="27" t="s">
        <v>58</v>
      </c>
      <c r="I28" s="27" t="s">
        <v>57</v>
      </c>
    </row>
    <row r="30" spans="1:9" s="31" customFormat="1" ht="12.5" customHeight="1" x14ac:dyDescent="0.35">
      <c r="A30" s="30" t="s">
        <v>120</v>
      </c>
      <c r="B30" s="31">
        <v>1</v>
      </c>
      <c r="C30" s="31" t="s">
        <v>121</v>
      </c>
      <c r="D30" s="31" t="s">
        <v>122</v>
      </c>
      <c r="E30" s="31" t="s">
        <v>123</v>
      </c>
      <c r="G30" s="31">
        <v>0.4</v>
      </c>
      <c r="H30" s="31" t="s">
        <v>124</v>
      </c>
      <c r="I30" s="31" t="s">
        <v>125</v>
      </c>
    </row>
    <row r="32" spans="1:9" s="34" customFormat="1" x14ac:dyDescent="0.35">
      <c r="A32" s="33" t="s">
        <v>131</v>
      </c>
      <c r="B32" s="34">
        <v>1</v>
      </c>
      <c r="C32" s="34" t="s">
        <v>132</v>
      </c>
      <c r="D32" s="34" t="s">
        <v>68</v>
      </c>
      <c r="E32" s="34" t="s">
        <v>69</v>
      </c>
      <c r="G32" s="34">
        <v>0.05</v>
      </c>
      <c r="H32" s="34" t="s">
        <v>133</v>
      </c>
      <c r="I32" s="34" t="s">
        <v>71</v>
      </c>
    </row>
    <row r="34" spans="1:9" s="37" customFormat="1" x14ac:dyDescent="0.35">
      <c r="A34" s="36" t="s">
        <v>131</v>
      </c>
      <c r="B34" s="37">
        <v>1</v>
      </c>
      <c r="C34" s="37" t="s">
        <v>132</v>
      </c>
      <c r="D34" s="37" t="s">
        <v>68</v>
      </c>
      <c r="E34" s="37" t="s">
        <v>69</v>
      </c>
      <c r="G34" s="37">
        <v>0.05</v>
      </c>
      <c r="H34" s="37" t="s">
        <v>133</v>
      </c>
      <c r="I34" s="37" t="s">
        <v>71</v>
      </c>
    </row>
    <row r="38" spans="1:9" x14ac:dyDescent="0.35">
      <c r="G38" s="17">
        <f>SUM(G3:G36)</f>
        <v>12.020000000000003</v>
      </c>
    </row>
  </sheetData>
  <mergeCells count="6">
    <mergeCell ref="A7:B7"/>
    <mergeCell ref="C7:H7"/>
    <mergeCell ref="A15:B15"/>
    <mergeCell ref="C15:H15"/>
    <mergeCell ref="A26:B26"/>
    <mergeCell ref="C26:H2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I27"/>
  <sheetViews>
    <sheetView zoomScale="70" zoomScaleNormal="70" workbookViewId="0">
      <pane ySplit="1" topLeftCell="A14" activePane="bottomLeft" state="frozen"/>
      <selection pane="bottomLeft" activeCell="G27" sqref="G27"/>
    </sheetView>
  </sheetViews>
  <sheetFormatPr defaultRowHeight="15.5" x14ac:dyDescent="0.35"/>
  <cols>
    <col min="1" max="1" width="18.90625" style="1" customWidth="1"/>
    <col min="2" max="2" width="5.6328125" style="1" customWidth="1"/>
    <col min="3" max="3" width="27" style="1" customWidth="1"/>
    <col min="4" max="4" width="19.26953125" style="1" customWidth="1"/>
    <col min="5" max="5" width="13.6328125" style="1" customWidth="1"/>
    <col min="6" max="6" width="10.1796875" style="1" customWidth="1"/>
    <col min="7" max="7" width="8.7265625" style="1"/>
    <col min="8" max="8" width="16.6328125" style="1" customWidth="1"/>
    <col min="9" max="9" width="14.453125" style="1" customWidth="1"/>
    <col min="10" max="16384" width="8.7265625" style="1"/>
  </cols>
  <sheetData>
    <row r="1" spans="1:9" s="18" customFormat="1" ht="62" x14ac:dyDescent="0.35">
      <c r="A1" s="18" t="s">
        <v>0</v>
      </c>
      <c r="B1" s="18" t="s">
        <v>4</v>
      </c>
      <c r="C1" s="18" t="s">
        <v>33</v>
      </c>
      <c r="D1" s="18" t="s">
        <v>39</v>
      </c>
      <c r="E1" s="18" t="s">
        <v>37</v>
      </c>
      <c r="F1" s="18" t="s">
        <v>40</v>
      </c>
      <c r="G1" s="18" t="s">
        <v>45</v>
      </c>
      <c r="H1" s="18" t="s">
        <v>38</v>
      </c>
      <c r="I1" s="18" t="s">
        <v>42</v>
      </c>
    </row>
    <row r="2" spans="1:9" s="18" customFormat="1" x14ac:dyDescent="0.35"/>
    <row r="3" spans="1:9" s="19" customFormat="1" x14ac:dyDescent="0.35">
      <c r="A3" s="19" t="s">
        <v>36</v>
      </c>
      <c r="B3" s="19">
        <v>1</v>
      </c>
      <c r="C3" s="19" t="s">
        <v>34</v>
      </c>
      <c r="D3" s="19" t="s">
        <v>41</v>
      </c>
      <c r="G3" s="19">
        <v>6.95</v>
      </c>
      <c r="H3" s="19" t="s">
        <v>35</v>
      </c>
      <c r="I3" s="19" t="s">
        <v>43</v>
      </c>
    </row>
    <row r="5" spans="1:9" s="20" customFormat="1" x14ac:dyDescent="0.35">
      <c r="A5" s="20" t="s">
        <v>59</v>
      </c>
      <c r="B5" s="20">
        <v>1</v>
      </c>
      <c r="C5" s="20" t="s">
        <v>62</v>
      </c>
      <c r="D5" s="20" t="s">
        <v>60</v>
      </c>
      <c r="E5" s="20" t="s">
        <v>61</v>
      </c>
      <c r="G5" s="20">
        <v>9.9</v>
      </c>
      <c r="H5" s="20" t="s">
        <v>63</v>
      </c>
      <c r="I5" s="20" t="s">
        <v>64</v>
      </c>
    </row>
    <row r="7" spans="1:9" s="21" customFormat="1" x14ac:dyDescent="0.35">
      <c r="A7" s="21" t="s">
        <v>72</v>
      </c>
      <c r="B7" s="21">
        <v>1</v>
      </c>
      <c r="C7" s="21" t="s">
        <v>73</v>
      </c>
      <c r="D7" s="21" t="s">
        <v>75</v>
      </c>
      <c r="E7" s="21" t="s">
        <v>74</v>
      </c>
      <c r="G7" s="21">
        <v>34</v>
      </c>
      <c r="H7" s="21" t="s">
        <v>76</v>
      </c>
      <c r="I7" s="21">
        <v>810039497982</v>
      </c>
    </row>
    <row r="9" spans="1:9" s="22" customFormat="1" x14ac:dyDescent="0.35">
      <c r="A9" s="22" t="s">
        <v>79</v>
      </c>
      <c r="B9" s="22">
        <v>1</v>
      </c>
      <c r="C9" s="22" t="s">
        <v>82</v>
      </c>
      <c r="D9" s="22" t="s">
        <v>60</v>
      </c>
      <c r="E9" s="22" t="s">
        <v>80</v>
      </c>
      <c r="G9" s="22">
        <v>17.5</v>
      </c>
      <c r="H9" s="22" t="s">
        <v>83</v>
      </c>
      <c r="I9" s="22" t="s">
        <v>81</v>
      </c>
    </row>
    <row r="11" spans="1:9" s="23" customFormat="1" x14ac:dyDescent="0.35">
      <c r="A11" s="23" t="s">
        <v>85</v>
      </c>
      <c r="B11" s="23">
        <v>1</v>
      </c>
      <c r="C11" s="23" t="s">
        <v>86</v>
      </c>
      <c r="D11" s="23" t="s">
        <v>60</v>
      </c>
      <c r="E11" s="23" t="s">
        <v>87</v>
      </c>
      <c r="G11" s="23">
        <v>8.99</v>
      </c>
      <c r="H11" s="23" t="s">
        <v>88</v>
      </c>
      <c r="I11" s="23" t="s">
        <v>89</v>
      </c>
    </row>
    <row r="13" spans="1:9" s="19" customFormat="1" x14ac:dyDescent="0.35">
      <c r="A13" s="19" t="s">
        <v>90</v>
      </c>
      <c r="B13" s="19">
        <v>1</v>
      </c>
      <c r="C13" s="19" t="s">
        <v>91</v>
      </c>
      <c r="D13" s="19" t="s">
        <v>60</v>
      </c>
      <c r="E13" s="19" t="s">
        <v>92</v>
      </c>
      <c r="G13" s="19">
        <v>7.9</v>
      </c>
      <c r="H13" s="19" t="s">
        <v>93</v>
      </c>
      <c r="I13" s="19" t="s">
        <v>94</v>
      </c>
    </row>
    <row r="15" spans="1:9" s="28" customFormat="1" x14ac:dyDescent="0.35">
      <c r="A15" s="28" t="s">
        <v>105</v>
      </c>
      <c r="B15" s="28">
        <v>1</v>
      </c>
      <c r="C15" s="28" t="s">
        <v>102</v>
      </c>
      <c r="E15" s="28" t="s">
        <v>104</v>
      </c>
      <c r="G15" s="28">
        <v>70</v>
      </c>
      <c r="H15" s="29" t="s">
        <v>103</v>
      </c>
    </row>
    <row r="16" spans="1:9" s="28" customFormat="1" x14ac:dyDescent="0.35">
      <c r="A16" s="28" t="s">
        <v>106</v>
      </c>
      <c r="B16" s="28" t="s">
        <v>107</v>
      </c>
      <c r="C16" s="28" t="s">
        <v>108</v>
      </c>
      <c r="D16" s="28" t="s">
        <v>110</v>
      </c>
      <c r="E16" s="28" t="s">
        <v>109</v>
      </c>
      <c r="G16" s="28">
        <v>18</v>
      </c>
      <c r="H16" s="29" t="s">
        <v>111</v>
      </c>
    </row>
    <row r="18" spans="1:9" s="32" customFormat="1" x14ac:dyDescent="0.35">
      <c r="A18" s="32" t="s">
        <v>115</v>
      </c>
      <c r="B18" s="32">
        <v>1</v>
      </c>
      <c r="C18" s="32" t="s">
        <v>116</v>
      </c>
      <c r="D18" s="32" t="s">
        <v>60</v>
      </c>
      <c r="E18" s="32" t="s">
        <v>117</v>
      </c>
      <c r="G18" s="32">
        <v>16</v>
      </c>
      <c r="H18" s="32" t="s">
        <v>118</v>
      </c>
      <c r="I18" s="32" t="s">
        <v>119</v>
      </c>
    </row>
    <row r="20" spans="1:9" s="35" customFormat="1" x14ac:dyDescent="0.35">
      <c r="A20" s="35" t="s">
        <v>126</v>
      </c>
      <c r="B20" s="35">
        <v>1</v>
      </c>
      <c r="C20" s="35" t="s">
        <v>127</v>
      </c>
      <c r="D20" s="35" t="s">
        <v>60</v>
      </c>
      <c r="E20" s="35" t="s">
        <v>128</v>
      </c>
      <c r="G20" s="35">
        <v>11.8</v>
      </c>
      <c r="H20" s="35" t="s">
        <v>129</v>
      </c>
      <c r="I20" s="35" t="s">
        <v>130</v>
      </c>
    </row>
    <row r="22" spans="1:9" s="38" customFormat="1" x14ac:dyDescent="0.35">
      <c r="A22" s="38" t="s">
        <v>134</v>
      </c>
      <c r="B22" s="38">
        <v>1</v>
      </c>
      <c r="C22" s="38" t="s">
        <v>135</v>
      </c>
      <c r="D22" s="38" t="s">
        <v>60</v>
      </c>
      <c r="E22" s="38" t="s">
        <v>136</v>
      </c>
      <c r="G22" s="38">
        <v>39.5</v>
      </c>
      <c r="H22" s="38" t="s">
        <v>137</v>
      </c>
      <c r="I22" s="38" t="s">
        <v>138</v>
      </c>
    </row>
    <row r="27" spans="1:9" x14ac:dyDescent="0.35">
      <c r="G27" s="1">
        <f>SUM(G3:G25)</f>
        <v>240.54000000000002</v>
      </c>
    </row>
  </sheetData>
  <hyperlinks>
    <hyperlink ref="H16" r:id="rId1"/>
    <hyperlink ref="H15" r:id="rId2"/>
  </hyperlinks>
  <pageMargins left="0.7" right="0.7" top="0.75" bottom="0.75" header="0.3" footer="0.3"/>
  <pageSetup orientation="landscape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6"/>
  <sheetViews>
    <sheetView workbookViewId="0">
      <pane ySplit="1" topLeftCell="A2" activePane="bottomLeft" state="frozen"/>
      <selection pane="bottomLeft" sqref="A1:XFD1"/>
    </sheetView>
  </sheetViews>
  <sheetFormatPr defaultRowHeight="14.5" x14ac:dyDescent="0.35"/>
  <cols>
    <col min="1" max="1" width="23" customWidth="1"/>
    <col min="2" max="2" width="31.7265625" customWidth="1"/>
  </cols>
  <sheetData>
    <row r="1" spans="1:2" x14ac:dyDescent="0.35">
      <c r="A1" t="s">
        <v>25</v>
      </c>
      <c r="B1" t="s">
        <v>31</v>
      </c>
    </row>
    <row r="2" spans="1:2" x14ac:dyDescent="0.35">
      <c r="A2" t="s">
        <v>26</v>
      </c>
      <c r="B2" t="s">
        <v>32</v>
      </c>
    </row>
    <row r="3" spans="1:2" x14ac:dyDescent="0.35">
      <c r="A3" t="s">
        <v>27</v>
      </c>
      <c r="B3" t="s">
        <v>28</v>
      </c>
    </row>
    <row r="4" spans="1:2" x14ac:dyDescent="0.35">
      <c r="A4" t="s">
        <v>28</v>
      </c>
    </row>
    <row r="5" spans="1:2" x14ac:dyDescent="0.35">
      <c r="A5" t="s">
        <v>29</v>
      </c>
    </row>
    <row r="6" spans="1:2" x14ac:dyDescent="0.35">
      <c r="A6" t="s">
        <v>30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16"/>
  <sheetViews>
    <sheetView zoomScale="85" zoomScaleNormal="85" workbookViewId="0">
      <pane ySplit="1" topLeftCell="A2" activePane="bottomLeft" state="frozen"/>
      <selection pane="bottomLeft" activeCell="C21" sqref="C21"/>
    </sheetView>
  </sheetViews>
  <sheetFormatPr defaultRowHeight="15.5" x14ac:dyDescent="0.35"/>
  <cols>
    <col min="1" max="1" width="27.26953125" style="1" customWidth="1"/>
    <col min="2" max="2" width="6.6328125" style="1" customWidth="1"/>
    <col min="3" max="4" width="28.6328125" style="1" customWidth="1"/>
    <col min="5" max="16384" width="8.7265625" style="1"/>
  </cols>
  <sheetData>
    <row r="1" spans="1:4" x14ac:dyDescent="0.35">
      <c r="A1" s="1" t="s">
        <v>0</v>
      </c>
      <c r="B1" s="1" t="s">
        <v>4</v>
      </c>
      <c r="C1" s="1" t="s">
        <v>2</v>
      </c>
      <c r="D1" s="1" t="s">
        <v>24</v>
      </c>
    </row>
    <row r="2" spans="1:4" x14ac:dyDescent="0.35">
      <c r="A2" s="1" t="s">
        <v>1</v>
      </c>
      <c r="B2" s="1">
        <v>2</v>
      </c>
      <c r="D2" s="1" t="s">
        <v>3</v>
      </c>
    </row>
    <row r="4" spans="1:4" x14ac:dyDescent="0.35">
      <c r="A4" s="1" t="s">
        <v>12</v>
      </c>
      <c r="B4" s="1">
        <v>1</v>
      </c>
      <c r="D4" s="1" t="s">
        <v>13</v>
      </c>
    </row>
    <row r="5" spans="1:4" x14ac:dyDescent="0.35">
      <c r="A5" s="1" t="s">
        <v>17</v>
      </c>
      <c r="B5" s="1">
        <v>1</v>
      </c>
      <c r="D5" s="1" t="s">
        <v>18</v>
      </c>
    </row>
    <row r="6" spans="1:4" x14ac:dyDescent="0.35">
      <c r="A6" s="1" t="s">
        <v>14</v>
      </c>
      <c r="B6" s="1">
        <v>1</v>
      </c>
      <c r="D6" s="1" t="s">
        <v>15</v>
      </c>
    </row>
    <row r="7" spans="1:4" x14ac:dyDescent="0.35">
      <c r="A7" s="1" t="s">
        <v>16</v>
      </c>
      <c r="B7" s="1">
        <v>1</v>
      </c>
      <c r="D7" s="1" t="s">
        <v>19</v>
      </c>
    </row>
    <row r="8" spans="1:4" x14ac:dyDescent="0.35">
      <c r="A8" s="1" t="s">
        <v>22</v>
      </c>
      <c r="B8" s="1">
        <v>1</v>
      </c>
      <c r="D8" s="1" t="s">
        <v>23</v>
      </c>
    </row>
    <row r="9" spans="1:4" x14ac:dyDescent="0.35">
      <c r="A9" s="1" t="s">
        <v>20</v>
      </c>
      <c r="B9" s="1">
        <v>5</v>
      </c>
      <c r="D9" s="1" t="s">
        <v>21</v>
      </c>
    </row>
    <row r="12" spans="1:4" x14ac:dyDescent="0.35">
      <c r="A12" s="1" t="s">
        <v>5</v>
      </c>
    </row>
    <row r="13" spans="1:4" x14ac:dyDescent="0.35">
      <c r="A13" s="1" t="s">
        <v>6</v>
      </c>
      <c r="B13" s="1">
        <v>1</v>
      </c>
      <c r="D13" s="1" t="s">
        <v>10</v>
      </c>
    </row>
    <row r="14" spans="1:4" x14ac:dyDescent="0.35">
      <c r="A14" s="1" t="s">
        <v>7</v>
      </c>
    </row>
    <row r="15" spans="1:4" x14ac:dyDescent="0.35">
      <c r="A15" s="1" t="s">
        <v>8</v>
      </c>
    </row>
    <row r="16" spans="1:4" x14ac:dyDescent="0.35">
      <c r="A16" s="1" t="s">
        <v>9</v>
      </c>
      <c r="D16" s="1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PCB</vt:lpstr>
      <vt:lpstr>External</vt:lpstr>
      <vt:lpstr>Vendors and others</vt:lpstr>
      <vt:lpstr>Component recommendations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2026-01-13T17:21:00Z</dcterms:modified>
</cp:coreProperties>
</file>